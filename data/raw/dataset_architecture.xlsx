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⚙ Settings" sheetId="1" state="visible" r:id="rId1"/>
    <sheet name="📦 SKU Master" sheetId="2" state="visible" r:id="rId2"/>
    <sheet name="🏪 Channel Costs" sheetId="3" state="visible" r:id="rId3"/>
    <sheet name="🛒 Sales Orders" sheetId="4" state="visible" r:id="rId4"/>
    <sheet name="📋 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DD/MM/YYYY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595959"/>
      <sz val="9"/>
    </font>
    <font>
      <name val="Arial"/>
      <i val="1"/>
      <color rgb="00595959"/>
      <sz val="9"/>
    </font>
    <font>
      <name val="Arial"/>
      <color rgb="00000000"/>
      <sz val="10"/>
    </font>
    <font>
      <name val="Arial"/>
      <b val="1"/>
      <color rgb="00FFFFFF"/>
      <sz val="12"/>
    </font>
    <font>
      <name val="Arial"/>
      <b val="1"/>
      <sz val="9"/>
    </font>
    <font>
      <name val="Arial"/>
      <color rgb="00008000"/>
      <sz val="10"/>
    </font>
    <font>
      <name val="Arial"/>
      <sz val="10"/>
    </font>
    <font>
      <name val="Arial"/>
      <i val="1"/>
      <color rgb="00595959"/>
      <sz val="8"/>
    </font>
    <font>
      <name val="Arial"/>
      <b val="1"/>
      <color rgb="00000000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FFF2CC"/>
      </patternFill>
    </fill>
    <fill>
      <patternFill patternType="solid">
        <fgColor rgb="00F2F7FB"/>
      </patternFill>
    </fill>
    <fill>
      <patternFill patternType="solid">
        <fgColor rgb="00EBF3FF"/>
      </patternFill>
    </fill>
    <fill>
      <patternFill patternType="solid">
        <fgColor rgb="00FFFF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center" vertical="center"/>
    </xf>
    <xf numFmtId="4" fontId="7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0" fontId="12" fillId="0" borderId="0" pivotButton="0" quotePrefix="0" xfId="0"/>
    <xf numFmtId="0" fontId="3" fillId="8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166" fontId="11" fillId="7" borderId="1" applyAlignment="1" pivotButton="0" quotePrefix="0" xfId="0">
      <alignment horizontal="center" vertical="center"/>
    </xf>
    <xf numFmtId="9" fontId="4" fillId="4" borderId="1" applyAlignment="1" pivotButton="0" quotePrefix="0" xfId="0">
      <alignment horizontal="center" vertical="center"/>
    </xf>
    <xf numFmtId="166" fontId="11" fillId="5" borderId="1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4" fontId="13" fillId="8" borderId="1" applyAlignment="1" pivotButton="0" quotePrefix="0" xfId="0">
      <alignment horizontal="center" vertical="center"/>
    </xf>
    <xf numFmtId="0" fontId="2" fillId="3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50" customWidth="1" min="3" max="3"/>
  </cols>
  <sheetData>
    <row r="1" ht="32" customHeight="1">
      <c r="A1" s="1" t="inlineStr">
        <is>
          <t>⚙  GLOBAL SETTINGS — Revenue &amp; Margin Intelligence System</t>
        </is>
      </c>
    </row>
    <row r="2" ht="20" customHeight="1">
      <c r="A2" s="2" t="inlineStr">
        <is>
          <t>Setting</t>
        </is>
      </c>
      <c r="B2" s="2" t="inlineStr">
        <is>
          <t>Selected Value</t>
        </is>
      </c>
      <c r="C2" s="2" t="inlineStr">
        <is>
          <t>Available Options</t>
        </is>
      </c>
    </row>
    <row r="3">
      <c r="A3" s="3" t="inlineStr">
        <is>
          <t>Currency</t>
        </is>
      </c>
      <c r="B3" s="4" t="inlineStr">
        <is>
          <t>EUR</t>
        </is>
      </c>
      <c r="C3" s="5" t="inlineStr">
        <is>
          <t>EUR | USD | GBP | GEL</t>
        </is>
      </c>
    </row>
    <row r="4">
      <c r="A4" s="6" t="inlineStr">
        <is>
          <t>Currency Symbol (auto)</t>
        </is>
      </c>
      <c r="B4" s="7">
        <f>CHOOSE(MATCH(B3,{"EUR","USD","GBP","GEL"},0),"€","$","£","₾")</f>
        <v/>
      </c>
      <c r="C4" s="5" t="inlineStr">
        <is>
          <t>Auto-calculated</t>
        </is>
      </c>
    </row>
    <row r="6">
      <c r="A6" s="3" t="inlineStr">
        <is>
          <t>SKU Category</t>
        </is>
      </c>
      <c r="B6" s="4" t="inlineStr">
        <is>
          <t>Beauty / Skincare</t>
        </is>
      </c>
      <c r="C6" s="5" t="inlineStr">
        <is>
          <t>Beauty / Skincare | Health &amp; Supplements | Home &amp; Kitchen | Apparel | Generic</t>
        </is>
      </c>
    </row>
    <row r="8">
      <c r="A8" s="8" t="inlineStr">
        <is>
          <t>💡 Select Currency and Category using the yellow dropdowns above — the whole model updates automatically.</t>
        </is>
      </c>
    </row>
  </sheetData>
  <mergeCells count="2">
    <mergeCell ref="A1:C1"/>
    <mergeCell ref="A8:C8"/>
  </mergeCells>
  <dataValidations count="2">
    <dataValidation sqref="B3" showDropDown="0" showInputMessage="0" showErrorMessage="0" allowBlank="0" type="list">
      <formula1>"EUR,USD,GBP,GEL"</formula1>
    </dataValidation>
    <dataValidation sqref="B6" showDropDown="0" showInputMessage="0" showErrorMessage="0" allowBlank="0" type="list">
      <formula1>"Beauty / Skincare,Health &amp; Supplements,Home &amp; Kitchen,Apparel,Generic"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6" customWidth="1" min="3" max="3"/>
    <col width="14" customWidth="1" min="4" max="4"/>
    <col width="12" customWidth="1" min="5" max="5"/>
    <col width="14" customWidth="1" min="6" max="6"/>
    <col width="16" customWidth="1" min="7" max="7"/>
    <col width="20" customWidth="1" min="8" max="8"/>
  </cols>
  <sheetData>
    <row r="1" ht="28" customHeight="1">
      <c r="A1" s="9" t="inlineStr">
        <is>
          <t>📦 SKU MASTER TABLE</t>
        </is>
      </c>
    </row>
    <row r="2">
      <c r="A2" s="10" t="inlineStr">
        <is>
          <t>Category:</t>
        </is>
      </c>
      <c r="B2" s="11">
        <f>'⚙ Settings'!B6</f>
        <v/>
      </c>
      <c r="D2" s="10" t="inlineStr">
        <is>
          <t>Currency:</t>
        </is>
      </c>
      <c r="E2" s="11">
        <f>'⚙ Settings'!B3</f>
        <v/>
      </c>
      <c r="F2" s="10" t="inlineStr">
        <is>
          <t>Symbol:</t>
        </is>
      </c>
      <c r="G2" s="11">
        <f>'⚙ Settings'!B4</f>
        <v/>
      </c>
    </row>
    <row r="3" ht="22" customHeight="1">
      <c r="A3" s="12" t="inlineStr">
        <is>
          <t>SKU ID</t>
        </is>
      </c>
      <c r="B3" s="12" t="inlineStr">
        <is>
          <t>SKU Name</t>
        </is>
      </c>
      <c r="C3" s="12" t="inlineStr">
        <is>
          <t>Subcategory</t>
        </is>
      </c>
      <c r="D3" s="12" t="inlineStr">
        <is>
          <t>Base Price</t>
        </is>
      </c>
      <c r="E3" s="12" t="inlineStr">
        <is>
          <t>COGS</t>
        </is>
      </c>
      <c r="F3" s="12" t="inlineStr">
        <is>
          <t>Packaging</t>
        </is>
      </c>
      <c r="G3" s="12" t="inlineStr">
        <is>
          <t>Inbound Freight</t>
        </is>
      </c>
      <c r="H3" s="12" t="inlineStr">
        <is>
          <t>Total Variable Cost</t>
        </is>
      </c>
    </row>
    <row r="4">
      <c r="A4" s="13" t="inlineStr">
        <is>
          <t>SKU-001</t>
        </is>
      </c>
      <c r="B4" s="14" t="inlineStr">
        <is>
          <t>Vitamin C Brightening Serum 30ml</t>
        </is>
      </c>
      <c r="C4" s="13" t="inlineStr">
        <is>
          <t>Serum</t>
        </is>
      </c>
      <c r="D4" s="15" t="n">
        <v>34.99</v>
      </c>
      <c r="E4" s="15" t="n">
        <v>6.2</v>
      </c>
      <c r="F4" s="15" t="n">
        <v>1.8</v>
      </c>
      <c r="G4" s="15" t="n">
        <v>1.1</v>
      </c>
      <c r="H4" s="16">
        <f>E4+F4+G4</f>
        <v/>
      </c>
    </row>
    <row r="5">
      <c r="A5" s="17" t="inlineStr">
        <is>
          <t>SKU-002</t>
        </is>
      </c>
      <c r="B5" s="18" t="inlineStr">
        <is>
          <t>Hyaluronic Acid Moisturiser 50ml</t>
        </is>
      </c>
      <c r="C5" s="17" t="inlineStr">
        <is>
          <t>Moisturiser</t>
        </is>
      </c>
      <c r="D5" s="15" t="n">
        <v>28.99</v>
      </c>
      <c r="E5" s="15" t="n">
        <v>5.4</v>
      </c>
      <c r="F5" s="15" t="n">
        <v>1.6</v>
      </c>
      <c r="G5" s="15" t="n">
        <v>0.95</v>
      </c>
      <c r="H5" s="16">
        <f>E5+F5+G5</f>
        <v/>
      </c>
    </row>
    <row r="6">
      <c r="A6" s="13" t="inlineStr">
        <is>
          <t>SKU-003</t>
        </is>
      </c>
      <c r="B6" s="14" t="inlineStr">
        <is>
          <t>Retinol Night Cream 30ml</t>
        </is>
      </c>
      <c r="C6" s="13" t="inlineStr">
        <is>
          <t>Cream</t>
        </is>
      </c>
      <c r="D6" s="15" t="n">
        <v>42.99</v>
      </c>
      <c r="E6" s="15" t="n">
        <v>8.5</v>
      </c>
      <c r="F6" s="15" t="n">
        <v>1.9</v>
      </c>
      <c r="G6" s="15" t="n">
        <v>1.2</v>
      </c>
      <c r="H6" s="16">
        <f>E6+F6+G6</f>
        <v/>
      </c>
    </row>
    <row r="7">
      <c r="A7" s="17" t="inlineStr">
        <is>
          <t>SKU-004</t>
        </is>
      </c>
      <c r="B7" s="18" t="inlineStr">
        <is>
          <t>SPF 50+ Daily Sunscreen 75ml</t>
        </is>
      </c>
      <c r="C7" s="17" t="inlineStr">
        <is>
          <t>Sunscreen</t>
        </is>
      </c>
      <c r="D7" s="15" t="n">
        <v>22.99</v>
      </c>
      <c r="E7" s="15" t="n">
        <v>4.1</v>
      </c>
      <c r="F7" s="15" t="n">
        <v>1.4</v>
      </c>
      <c r="G7" s="15" t="n">
        <v>0.85</v>
      </c>
      <c r="H7" s="16">
        <f>E7+F7+G7</f>
        <v/>
      </c>
    </row>
    <row r="8">
      <c r="A8" s="13" t="inlineStr">
        <is>
          <t>SKU-005</t>
        </is>
      </c>
      <c r="B8" s="14" t="inlineStr">
        <is>
          <t>AHA/BHA Exfoliating Toner 200ml</t>
        </is>
      </c>
      <c r="C8" s="13" t="inlineStr">
        <is>
          <t>Toner</t>
        </is>
      </c>
      <c r="D8" s="15" t="n">
        <v>26.99</v>
      </c>
      <c r="E8" s="15" t="n">
        <v>4.8</v>
      </c>
      <c r="F8" s="15" t="n">
        <v>1.55</v>
      </c>
      <c r="G8" s="15" t="n">
        <v>0.9</v>
      </c>
      <c r="H8" s="16">
        <f>E8+F8+G8</f>
        <v/>
      </c>
    </row>
    <row r="9">
      <c r="A9" s="17" t="inlineStr">
        <is>
          <t>SKU-006</t>
        </is>
      </c>
      <c r="B9" s="18" t="inlineStr">
        <is>
          <t>Niacinamide Pore Minimiser Serum</t>
        </is>
      </c>
      <c r="C9" s="17" t="inlineStr">
        <is>
          <t>Serum</t>
        </is>
      </c>
      <c r="D9" s="15" t="n">
        <v>31.99</v>
      </c>
      <c r="E9" s="15" t="n">
        <v>5.9</v>
      </c>
      <c r="F9" s="15" t="n">
        <v>1.75</v>
      </c>
      <c r="G9" s="15" t="n">
        <v>1.05</v>
      </c>
      <c r="H9" s="16">
        <f>E9+F9+G9</f>
        <v/>
      </c>
    </row>
    <row r="10">
      <c r="A10" s="13" t="inlineStr">
        <is>
          <t>SKU-007</t>
        </is>
      </c>
      <c r="B10" s="14" t="inlineStr">
        <is>
          <t>Collagen Boosting Eye Cream 15ml</t>
        </is>
      </c>
      <c r="C10" s="13" t="inlineStr">
        <is>
          <t>Eye Care</t>
        </is>
      </c>
      <c r="D10" s="15" t="n">
        <v>38.99</v>
      </c>
      <c r="E10" s="15" t="n">
        <v>7.2</v>
      </c>
      <c r="F10" s="15" t="n">
        <v>1.85</v>
      </c>
      <c r="G10" s="15" t="n">
        <v>1.15</v>
      </c>
      <c r="H10" s="16">
        <f>E10+F10+G10</f>
        <v/>
      </c>
    </row>
    <row r="11">
      <c r="A11" s="17" t="inlineStr">
        <is>
          <t>SKU-008</t>
        </is>
      </c>
      <c r="B11" s="18" t="inlineStr">
        <is>
          <t>Rose Hip Facial Oil 30ml</t>
        </is>
      </c>
      <c r="C11" s="17" t="inlineStr">
        <is>
          <t>Facial Oil</t>
        </is>
      </c>
      <c r="D11" s="15" t="n">
        <v>35.99</v>
      </c>
      <c r="E11" s="15" t="n">
        <v>6.8</v>
      </c>
      <c r="F11" s="15" t="n">
        <v>1.8</v>
      </c>
      <c r="G11" s="15" t="n">
        <v>1.1</v>
      </c>
      <c r="H11" s="16">
        <f>E11+F11+G11</f>
        <v/>
      </c>
    </row>
    <row r="12">
      <c r="A12" s="13" t="inlineStr">
        <is>
          <t>SKU-009</t>
        </is>
      </c>
      <c r="B12" s="14" t="inlineStr">
        <is>
          <t>Ceramide Barrier Repair Cream 50ml</t>
        </is>
      </c>
      <c r="C12" s="13" t="inlineStr">
        <is>
          <t>Cream</t>
        </is>
      </c>
      <c r="D12" s="15" t="n">
        <v>29.99</v>
      </c>
      <c r="E12" s="15" t="n">
        <v>5.6</v>
      </c>
      <c r="F12" s="15" t="n">
        <v>1.65</v>
      </c>
      <c r="G12" s="15" t="n">
        <v>0.95</v>
      </c>
      <c r="H12" s="16">
        <f>E12+F12+G12</f>
        <v/>
      </c>
    </row>
    <row r="13">
      <c r="A13" s="17" t="inlineStr">
        <is>
          <t>SKU-010</t>
        </is>
      </c>
      <c r="B13" s="18" t="inlineStr">
        <is>
          <t>Micellar Cleansing Water 250ml</t>
        </is>
      </c>
      <c r="C13" s="17" t="inlineStr">
        <is>
          <t>Cleanser</t>
        </is>
      </c>
      <c r="D13" s="15" t="n">
        <v>18.99</v>
      </c>
      <c r="E13" s="15" t="n">
        <v>3.2</v>
      </c>
      <c r="F13" s="15" t="n">
        <v>1.3</v>
      </c>
      <c r="G13" s="15" t="n">
        <v>0.75</v>
      </c>
      <c r="H13" s="16">
        <f>E13+F13+G13</f>
        <v/>
      </c>
    </row>
    <row r="14">
      <c r="A14" s="13" t="inlineStr">
        <is>
          <t>SKU-011</t>
        </is>
      </c>
      <c r="B14" s="14" t="inlineStr">
        <is>
          <t>Peptide Firming Serum 30ml</t>
        </is>
      </c>
      <c r="C14" s="13" t="inlineStr">
        <is>
          <t>Serum</t>
        </is>
      </c>
      <c r="D14" s="15" t="n">
        <v>44.99</v>
      </c>
      <c r="E14" s="15" t="n">
        <v>9.1</v>
      </c>
      <c r="F14" s="15" t="n">
        <v>1.9</v>
      </c>
      <c r="G14" s="15" t="n">
        <v>1.25</v>
      </c>
      <c r="H14" s="16">
        <f>E14+F14+G14</f>
        <v/>
      </c>
    </row>
    <row r="15">
      <c r="A15" s="17" t="inlineStr">
        <is>
          <t>SKU-012</t>
        </is>
      </c>
      <c r="B15" s="18" t="inlineStr">
        <is>
          <t>Gentle Foaming Cleanser 150ml</t>
        </is>
      </c>
      <c r="C15" s="17" t="inlineStr">
        <is>
          <t>Cleanser</t>
        </is>
      </c>
      <c r="D15" s="15" t="n">
        <v>19.99</v>
      </c>
      <c r="E15" s="15" t="n">
        <v>3.5</v>
      </c>
      <c r="F15" s="15" t="n">
        <v>1.35</v>
      </c>
      <c r="G15" s="15" t="n">
        <v>0.8</v>
      </c>
      <c r="H15" s="16">
        <f>E15+F15+G15</f>
        <v/>
      </c>
    </row>
    <row r="17">
      <c r="A17" s="19" t="inlineStr">
        <is>
          <t>🔵 Blue = Input   ⚫ Black = Formula   🟢 Green = Cross-sheet link</t>
        </is>
      </c>
    </row>
  </sheetData>
  <mergeCells count="2">
    <mergeCell ref="A17:H17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36" customWidth="1" min="9" max="9"/>
  </cols>
  <sheetData>
    <row r="1" ht="28" customHeight="1">
      <c r="A1" s="9" t="inlineStr">
        <is>
          <t>🏪 CHANNEL COSTS TABLE — Amazon vs DTC</t>
        </is>
      </c>
    </row>
    <row r="2" ht="32" customHeight="1">
      <c r="A2" s="12" t="inlineStr">
        <is>
          <t>Channel</t>
        </is>
      </c>
      <c r="B2" s="12" t="inlineStr">
        <is>
          <t>Referral Fee %</t>
        </is>
      </c>
      <c r="C2" s="12" t="inlineStr">
        <is>
          <t>Fulfilment
Fee (per unit)</t>
        </is>
      </c>
      <c r="D2" s="12" t="inlineStr">
        <is>
          <t>Advertising %</t>
        </is>
      </c>
      <c r="E2" s="12" t="inlineStr">
        <is>
          <t>Returns %</t>
        </is>
      </c>
      <c r="F2" s="12" t="inlineStr">
        <is>
          <t>Payment
Gateway %</t>
        </is>
      </c>
      <c r="G2" s="12" t="inlineStr">
        <is>
          <t>Payout Days</t>
        </is>
      </c>
      <c r="H2" s="12" t="inlineStr">
        <is>
          <t>VAT Rate %</t>
        </is>
      </c>
      <c r="I2" s="12" t="inlineStr">
        <is>
          <t>Notes</t>
        </is>
      </c>
    </row>
    <row r="3" ht="22" customHeight="1">
      <c r="A3" s="20" t="inlineStr">
        <is>
          <t>Amazon</t>
        </is>
      </c>
      <c r="B3" s="21" t="n">
        <v>0.15</v>
      </c>
      <c r="C3" s="15" t="n">
        <v>3.5</v>
      </c>
      <c r="D3" s="21" t="n">
        <v>0.12</v>
      </c>
      <c r="E3" s="21" t="n">
        <v>0.06</v>
      </c>
      <c r="F3" s="21" t="n">
        <v>0</v>
      </c>
      <c r="G3" s="22" t="n">
        <v>14</v>
      </c>
      <c r="H3" s="21" t="n">
        <v>0.2</v>
      </c>
      <c r="I3" s="23" t="inlineStr">
        <is>
          <t>FBA; 15% referral (Beauty); avg ACoS 12%</t>
        </is>
      </c>
    </row>
    <row r="4" ht="22" customHeight="1">
      <c r="A4" s="20" t="inlineStr">
        <is>
          <t>DTC</t>
        </is>
      </c>
      <c r="B4" s="21" t="n">
        <v>0</v>
      </c>
      <c r="C4" s="15" t="n">
        <v>4.8</v>
      </c>
      <c r="D4" s="21" t="n">
        <v>0.08</v>
      </c>
      <c r="E4" s="21" t="n">
        <v>0.03</v>
      </c>
      <c r="F4" s="21" t="n">
        <v>0.029</v>
      </c>
      <c r="G4" s="22" t="n">
        <v>3</v>
      </c>
      <c r="H4" s="21" t="n">
        <v>0.2</v>
      </c>
      <c r="I4" s="24" t="inlineStr">
        <is>
          <t>Shopify + 3PL; Stripe 2.9%; Meta/Google 8%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3" customWidth="1" min="10" max="10"/>
    <col width="13" customWidth="1" min="11" max="11"/>
    <col width="16" customWidth="1" min="12" max="12"/>
    <col width="14" customWidth="1" min="13" max="13"/>
  </cols>
  <sheetData>
    <row r="1" ht="28" customHeight="1">
      <c r="A1" s="9" t="inlineStr">
        <is>
          <t>🛒 SALES ORDERS TABLE — Q1 2025 (60 Sample Transactions)</t>
        </is>
      </c>
    </row>
    <row r="2" ht="22" customHeight="1">
      <c r="A2" s="12" t="inlineStr">
        <is>
          <t>Order Date</t>
        </is>
      </c>
      <c r="B2" s="12" t="inlineStr">
        <is>
          <t>SKU ID</t>
        </is>
      </c>
      <c r="C2" s="12" t="inlineStr">
        <is>
          <t>SKU Name</t>
        </is>
      </c>
      <c r="D2" s="12" t="inlineStr">
        <is>
          <t>Channel</t>
        </is>
      </c>
      <c r="E2" s="12" t="inlineStr">
        <is>
          <t>Units Sold</t>
        </is>
      </c>
      <c r="F2" s="12" t="inlineStr">
        <is>
          <t>List Price</t>
        </is>
      </c>
      <c r="G2" s="12" t="inlineStr">
        <is>
          <t>Discount %</t>
        </is>
      </c>
      <c r="H2" s="12" t="inlineStr">
        <is>
          <t>Net Price</t>
        </is>
      </c>
      <c r="I2" s="12" t="inlineStr">
        <is>
          <t>Gross Revenue</t>
        </is>
      </c>
      <c r="J2" s="12" t="inlineStr">
        <is>
          <t>Return Units</t>
        </is>
      </c>
      <c r="K2" s="12" t="inlineStr">
        <is>
          <t>Net Units</t>
        </is>
      </c>
      <c r="L2" s="12" t="inlineStr">
        <is>
          <t>Shipping Income</t>
        </is>
      </c>
      <c r="M2" s="12" t="inlineStr">
        <is>
          <t>Net Revenue</t>
        </is>
      </c>
    </row>
    <row r="3">
      <c r="A3" s="25" t="n">
        <v>45658</v>
      </c>
      <c r="B3" s="17" t="inlineStr">
        <is>
          <t>SKU-002</t>
        </is>
      </c>
      <c r="C3" s="18" t="inlineStr">
        <is>
          <t>Hyaluronic Acid Moisturiser 50ml</t>
        </is>
      </c>
      <c r="D3" s="17" t="inlineStr">
        <is>
          <t>Amazon</t>
        </is>
      </c>
      <c r="E3" s="22" t="n">
        <v>34</v>
      </c>
      <c r="F3" s="15" t="n">
        <v>28.99</v>
      </c>
      <c r="G3" s="26" t="n">
        <v>0</v>
      </c>
      <c r="H3" s="16">
        <f>F3*(1-G3)</f>
        <v/>
      </c>
      <c r="I3" s="16">
        <f>E3*H3</f>
        <v/>
      </c>
      <c r="J3" s="22" t="n">
        <v>2</v>
      </c>
      <c r="K3" s="22" t="n">
        <v>32</v>
      </c>
      <c r="L3" s="15" t="n">
        <v>0</v>
      </c>
      <c r="M3" s="16">
        <f>K3*H3+L3</f>
        <v/>
      </c>
    </row>
    <row r="4">
      <c r="A4" s="27" t="n">
        <v>45660</v>
      </c>
      <c r="B4" s="13" t="inlineStr">
        <is>
          <t>SKU-010</t>
        </is>
      </c>
      <c r="C4" s="14" t="inlineStr">
        <is>
          <t>Micellar Cleansing Water 250ml</t>
        </is>
      </c>
      <c r="D4" s="13" t="inlineStr">
        <is>
          <t>Amazon</t>
        </is>
      </c>
      <c r="E4" s="22" t="n">
        <v>80</v>
      </c>
      <c r="F4" s="15" t="n">
        <v>18.99</v>
      </c>
      <c r="G4" s="26" t="n">
        <v>0</v>
      </c>
      <c r="H4" s="16">
        <f>F4*(1-G4)</f>
        <v/>
      </c>
      <c r="I4" s="16">
        <f>E4*H4</f>
        <v/>
      </c>
      <c r="J4" s="22" t="n">
        <v>5</v>
      </c>
      <c r="K4" s="22" t="n">
        <v>75</v>
      </c>
      <c r="L4" s="15" t="n">
        <v>0</v>
      </c>
      <c r="M4" s="16">
        <f>K4*H4+L4</f>
        <v/>
      </c>
    </row>
    <row r="5">
      <c r="A5" s="25" t="n">
        <v>45662</v>
      </c>
      <c r="B5" s="17" t="inlineStr">
        <is>
          <t>SKU-001</t>
        </is>
      </c>
      <c r="C5" s="18" t="inlineStr">
        <is>
          <t>Vitamin C Brightening Serum 30ml</t>
        </is>
      </c>
      <c r="D5" s="17" t="inlineStr">
        <is>
          <t>Amazon</t>
        </is>
      </c>
      <c r="E5" s="22" t="n">
        <v>32</v>
      </c>
      <c r="F5" s="15" t="n">
        <v>34.99</v>
      </c>
      <c r="G5" s="26" t="n">
        <v>0</v>
      </c>
      <c r="H5" s="16">
        <f>F5*(1-G5)</f>
        <v/>
      </c>
      <c r="I5" s="16">
        <f>E5*H5</f>
        <v/>
      </c>
      <c r="J5" s="22" t="n">
        <v>2</v>
      </c>
      <c r="K5" s="22" t="n">
        <v>30</v>
      </c>
      <c r="L5" s="15" t="n">
        <v>0</v>
      </c>
      <c r="M5" s="16">
        <f>K5*H5+L5</f>
        <v/>
      </c>
    </row>
    <row r="6">
      <c r="A6" s="27" t="n">
        <v>45662</v>
      </c>
      <c r="B6" s="13" t="inlineStr">
        <is>
          <t>SKU-006</t>
        </is>
      </c>
      <c r="C6" s="14" t="inlineStr">
        <is>
          <t>Niacinamide Pore Minimiser Serum</t>
        </is>
      </c>
      <c r="D6" s="13" t="inlineStr">
        <is>
          <t>DTC</t>
        </is>
      </c>
      <c r="E6" s="22" t="n">
        <v>39</v>
      </c>
      <c r="F6" s="15" t="n">
        <v>31.99</v>
      </c>
      <c r="G6" s="26" t="n">
        <v>0</v>
      </c>
      <c r="H6" s="16">
        <f>F6*(1-G6)</f>
        <v/>
      </c>
      <c r="I6" s="16">
        <f>E6*H6</f>
        <v/>
      </c>
      <c r="J6" s="22" t="n">
        <v>1</v>
      </c>
      <c r="K6" s="22" t="n">
        <v>38</v>
      </c>
      <c r="L6" s="15" t="n">
        <v>0</v>
      </c>
      <c r="M6" s="16">
        <f>K6*H6+L6</f>
        <v/>
      </c>
    </row>
    <row r="7">
      <c r="A7" s="25" t="n">
        <v>45662</v>
      </c>
      <c r="B7" s="17" t="inlineStr">
        <is>
          <t>SKU-006</t>
        </is>
      </c>
      <c r="C7" s="18" t="inlineStr">
        <is>
          <t>Niacinamide Pore Minimiser Serum</t>
        </is>
      </c>
      <c r="D7" s="17" t="inlineStr">
        <is>
          <t>Amazon</t>
        </is>
      </c>
      <c r="E7" s="22" t="n">
        <v>70</v>
      </c>
      <c r="F7" s="15" t="n">
        <v>31.99</v>
      </c>
      <c r="G7" s="26" t="n">
        <v>0</v>
      </c>
      <c r="H7" s="16">
        <f>F7*(1-G7)</f>
        <v/>
      </c>
      <c r="I7" s="16">
        <f>E7*H7</f>
        <v/>
      </c>
      <c r="J7" s="22" t="n">
        <v>4</v>
      </c>
      <c r="K7" s="22" t="n">
        <v>66</v>
      </c>
      <c r="L7" s="15" t="n">
        <v>0</v>
      </c>
      <c r="M7" s="16">
        <f>K7*H7+L7</f>
        <v/>
      </c>
    </row>
    <row r="8">
      <c r="A8" s="27" t="n">
        <v>45663</v>
      </c>
      <c r="B8" s="13" t="inlineStr">
        <is>
          <t>SKU-011</t>
        </is>
      </c>
      <c r="C8" s="14" t="inlineStr">
        <is>
          <t>Peptide Firming Serum 30ml</t>
        </is>
      </c>
      <c r="D8" s="13" t="inlineStr">
        <is>
          <t>Amazon</t>
        </is>
      </c>
      <c r="E8" s="22" t="n">
        <v>103</v>
      </c>
      <c r="F8" s="15" t="n">
        <v>44.99</v>
      </c>
      <c r="G8" s="26" t="n">
        <v>0.05</v>
      </c>
      <c r="H8" s="16">
        <f>F8*(1-G8)</f>
        <v/>
      </c>
      <c r="I8" s="16">
        <f>E8*H8</f>
        <v/>
      </c>
      <c r="J8" s="22" t="n">
        <v>6</v>
      </c>
      <c r="K8" s="22" t="n">
        <v>97</v>
      </c>
      <c r="L8" s="15" t="n">
        <v>0</v>
      </c>
      <c r="M8" s="16">
        <f>K8*H8+L8</f>
        <v/>
      </c>
    </row>
    <row r="9">
      <c r="A9" s="25" t="n">
        <v>45665</v>
      </c>
      <c r="B9" s="17" t="inlineStr">
        <is>
          <t>SKU-003</t>
        </is>
      </c>
      <c r="C9" s="18" t="inlineStr">
        <is>
          <t>Retinol Night Cream 30ml</t>
        </is>
      </c>
      <c r="D9" s="17" t="inlineStr">
        <is>
          <t>DTC</t>
        </is>
      </c>
      <c r="E9" s="22" t="n">
        <v>5</v>
      </c>
      <c r="F9" s="15" t="n">
        <v>42.99</v>
      </c>
      <c r="G9" s="26" t="n">
        <v>0.1</v>
      </c>
      <c r="H9" s="16">
        <f>F9*(1-G9)</f>
        <v/>
      </c>
      <c r="I9" s="16">
        <f>E9*H9</f>
        <v/>
      </c>
      <c r="J9" s="22" t="n">
        <v>0</v>
      </c>
      <c r="K9" s="22" t="n">
        <v>5</v>
      </c>
      <c r="L9" s="15" t="n">
        <v>3.99</v>
      </c>
      <c r="M9" s="16">
        <f>K9*H9+L9</f>
        <v/>
      </c>
    </row>
    <row r="10">
      <c r="A10" s="27" t="n">
        <v>45665</v>
      </c>
      <c r="B10" s="13" t="inlineStr">
        <is>
          <t>SKU-001</t>
        </is>
      </c>
      <c r="C10" s="14" t="inlineStr">
        <is>
          <t>Vitamin C Brightening Serum 30ml</t>
        </is>
      </c>
      <c r="D10" s="13" t="inlineStr">
        <is>
          <t>DTC</t>
        </is>
      </c>
      <c r="E10" s="22" t="n">
        <v>69</v>
      </c>
      <c r="F10" s="15" t="n">
        <v>34.99</v>
      </c>
      <c r="G10" s="26" t="n">
        <v>0.15</v>
      </c>
      <c r="H10" s="16">
        <f>F10*(1-G10)</f>
        <v/>
      </c>
      <c r="I10" s="16">
        <f>E10*H10</f>
        <v/>
      </c>
      <c r="J10" s="22" t="n">
        <v>2</v>
      </c>
      <c r="K10" s="22" t="n">
        <v>67</v>
      </c>
      <c r="L10" s="15" t="n">
        <v>0</v>
      </c>
      <c r="M10" s="16">
        <f>K10*H10+L10</f>
        <v/>
      </c>
    </row>
    <row r="11">
      <c r="A11" s="25" t="n">
        <v>45665</v>
      </c>
      <c r="B11" s="17" t="inlineStr">
        <is>
          <t>SKU-009</t>
        </is>
      </c>
      <c r="C11" s="18" t="inlineStr">
        <is>
          <t>Ceramide Barrier Repair Cream 50ml</t>
        </is>
      </c>
      <c r="D11" s="17" t="inlineStr">
        <is>
          <t>Amazon</t>
        </is>
      </c>
      <c r="E11" s="22" t="n">
        <v>113</v>
      </c>
      <c r="F11" s="15" t="n">
        <v>29.99</v>
      </c>
      <c r="G11" s="26" t="n">
        <v>0</v>
      </c>
      <c r="H11" s="16">
        <f>F11*(1-G11)</f>
        <v/>
      </c>
      <c r="I11" s="16">
        <f>E11*H11</f>
        <v/>
      </c>
      <c r="J11" s="22" t="n">
        <v>7</v>
      </c>
      <c r="K11" s="22" t="n">
        <v>106</v>
      </c>
      <c r="L11" s="15" t="n">
        <v>0</v>
      </c>
      <c r="M11" s="16">
        <f>K11*H11+L11</f>
        <v/>
      </c>
    </row>
    <row r="12">
      <c r="A12" s="27" t="n">
        <v>45668</v>
      </c>
      <c r="B12" s="13" t="inlineStr">
        <is>
          <t>SKU-004</t>
        </is>
      </c>
      <c r="C12" s="14" t="inlineStr">
        <is>
          <t>SPF 50+ Daily Sunscreen 75ml</t>
        </is>
      </c>
      <c r="D12" s="13" t="inlineStr">
        <is>
          <t>Amazon</t>
        </is>
      </c>
      <c r="E12" s="22" t="n">
        <v>53</v>
      </c>
      <c r="F12" s="15" t="n">
        <v>22.99</v>
      </c>
      <c r="G12" s="26" t="n">
        <v>0.05</v>
      </c>
      <c r="H12" s="16">
        <f>F12*(1-G12)</f>
        <v/>
      </c>
      <c r="I12" s="16">
        <f>E12*H12</f>
        <v/>
      </c>
      <c r="J12" s="22" t="n">
        <v>3</v>
      </c>
      <c r="K12" s="22" t="n">
        <v>50</v>
      </c>
      <c r="L12" s="15" t="n">
        <v>0</v>
      </c>
      <c r="M12" s="16">
        <f>K12*H12+L12</f>
        <v/>
      </c>
    </row>
    <row r="13">
      <c r="A13" s="25" t="n">
        <v>45668</v>
      </c>
      <c r="B13" s="17" t="inlineStr">
        <is>
          <t>SKU-002</t>
        </is>
      </c>
      <c r="C13" s="18" t="inlineStr">
        <is>
          <t>Hyaluronic Acid Moisturiser 50ml</t>
        </is>
      </c>
      <c r="D13" s="17" t="inlineStr">
        <is>
          <t>DTC</t>
        </is>
      </c>
      <c r="E13" s="22" t="n">
        <v>109</v>
      </c>
      <c r="F13" s="15" t="n">
        <v>28.99</v>
      </c>
      <c r="G13" s="26" t="n">
        <v>0</v>
      </c>
      <c r="H13" s="16">
        <f>F13*(1-G13)</f>
        <v/>
      </c>
      <c r="I13" s="16">
        <f>E13*H13</f>
        <v/>
      </c>
      <c r="J13" s="22" t="n">
        <v>3</v>
      </c>
      <c r="K13" s="22" t="n">
        <v>106</v>
      </c>
      <c r="L13" s="15" t="n">
        <v>5.99</v>
      </c>
      <c r="M13" s="16">
        <f>K13*H13+L13</f>
        <v/>
      </c>
    </row>
    <row r="14">
      <c r="A14" s="27" t="n">
        <v>45671</v>
      </c>
      <c r="B14" s="13" t="inlineStr">
        <is>
          <t>SKU-002</t>
        </is>
      </c>
      <c r="C14" s="14" t="inlineStr">
        <is>
          <t>Hyaluronic Acid Moisturiser 50ml</t>
        </is>
      </c>
      <c r="D14" s="13" t="inlineStr">
        <is>
          <t>DTC</t>
        </is>
      </c>
      <c r="E14" s="22" t="n">
        <v>17</v>
      </c>
      <c r="F14" s="15" t="n">
        <v>28.99</v>
      </c>
      <c r="G14" s="26" t="n">
        <v>0.05</v>
      </c>
      <c r="H14" s="16">
        <f>F14*(1-G14)</f>
        <v/>
      </c>
      <c r="I14" s="16">
        <f>E14*H14</f>
        <v/>
      </c>
      <c r="J14" s="22" t="n">
        <v>1</v>
      </c>
      <c r="K14" s="22" t="n">
        <v>16</v>
      </c>
      <c r="L14" s="15" t="n">
        <v>3.99</v>
      </c>
      <c r="M14" s="16">
        <f>K14*H14+L14</f>
        <v/>
      </c>
    </row>
    <row r="15">
      <c r="A15" s="25" t="n">
        <v>45672</v>
      </c>
      <c r="B15" s="17" t="inlineStr">
        <is>
          <t>SKU-005</t>
        </is>
      </c>
      <c r="C15" s="18" t="inlineStr">
        <is>
          <t>AHA/BHA Exfoliating Toner 200ml</t>
        </is>
      </c>
      <c r="D15" s="17" t="inlineStr">
        <is>
          <t>DTC</t>
        </is>
      </c>
      <c r="E15" s="22" t="n">
        <v>25</v>
      </c>
      <c r="F15" s="15" t="n">
        <v>26.99</v>
      </c>
      <c r="G15" s="26" t="n">
        <v>0.1</v>
      </c>
      <c r="H15" s="16">
        <f>F15*(1-G15)</f>
        <v/>
      </c>
      <c r="I15" s="16">
        <f>E15*H15</f>
        <v/>
      </c>
      <c r="J15" s="22" t="n">
        <v>1</v>
      </c>
      <c r="K15" s="22" t="n">
        <v>24</v>
      </c>
      <c r="L15" s="15" t="n">
        <v>0</v>
      </c>
      <c r="M15" s="16">
        <f>K15*H15+L15</f>
        <v/>
      </c>
    </row>
    <row r="16">
      <c r="A16" s="27" t="n">
        <v>45673</v>
      </c>
      <c r="B16" s="13" t="inlineStr">
        <is>
          <t>SKU-004</t>
        </is>
      </c>
      <c r="C16" s="14" t="inlineStr">
        <is>
          <t>SPF 50+ Daily Sunscreen 75ml</t>
        </is>
      </c>
      <c r="D16" s="13" t="inlineStr">
        <is>
          <t>Amazon</t>
        </is>
      </c>
      <c r="E16" s="22" t="n">
        <v>13</v>
      </c>
      <c r="F16" s="15" t="n">
        <v>22.99</v>
      </c>
      <c r="G16" s="26" t="n">
        <v>0.05</v>
      </c>
      <c r="H16" s="16">
        <f>F16*(1-G16)</f>
        <v/>
      </c>
      <c r="I16" s="16">
        <f>E16*H16</f>
        <v/>
      </c>
      <c r="J16" s="22" t="n">
        <v>1</v>
      </c>
      <c r="K16" s="22" t="n">
        <v>12</v>
      </c>
      <c r="L16" s="15" t="n">
        <v>0</v>
      </c>
      <c r="M16" s="16">
        <f>K16*H16+L16</f>
        <v/>
      </c>
    </row>
    <row r="17">
      <c r="A17" s="25" t="n">
        <v>45674</v>
      </c>
      <c r="B17" s="17" t="inlineStr">
        <is>
          <t>SKU-003</t>
        </is>
      </c>
      <c r="C17" s="18" t="inlineStr">
        <is>
          <t>Retinol Night Cream 30ml</t>
        </is>
      </c>
      <c r="D17" s="17" t="inlineStr">
        <is>
          <t>DTC</t>
        </is>
      </c>
      <c r="E17" s="22" t="n">
        <v>75</v>
      </c>
      <c r="F17" s="15" t="n">
        <v>42.99</v>
      </c>
      <c r="G17" s="26" t="n">
        <v>0</v>
      </c>
      <c r="H17" s="16">
        <f>F17*(1-G17)</f>
        <v/>
      </c>
      <c r="I17" s="16">
        <f>E17*H17</f>
        <v/>
      </c>
      <c r="J17" s="22" t="n">
        <v>2</v>
      </c>
      <c r="K17" s="22" t="n">
        <v>73</v>
      </c>
      <c r="L17" s="15" t="n">
        <v>3.99</v>
      </c>
      <c r="M17" s="16">
        <f>K17*H17+L17</f>
        <v/>
      </c>
    </row>
    <row r="18">
      <c r="A18" s="27" t="n">
        <v>45677</v>
      </c>
      <c r="B18" s="13" t="inlineStr">
        <is>
          <t>SKU-011</t>
        </is>
      </c>
      <c r="C18" s="14" t="inlineStr">
        <is>
          <t>Peptide Firming Serum 30ml</t>
        </is>
      </c>
      <c r="D18" s="13" t="inlineStr">
        <is>
          <t>Amazon</t>
        </is>
      </c>
      <c r="E18" s="22" t="n">
        <v>106</v>
      </c>
      <c r="F18" s="15" t="n">
        <v>44.99</v>
      </c>
      <c r="G18" s="26" t="n">
        <v>0.2</v>
      </c>
      <c r="H18" s="16">
        <f>F18*(1-G18)</f>
        <v/>
      </c>
      <c r="I18" s="16">
        <f>E18*H18</f>
        <v/>
      </c>
      <c r="J18" s="22" t="n">
        <v>6</v>
      </c>
      <c r="K18" s="22" t="n">
        <v>100</v>
      </c>
      <c r="L18" s="15" t="n">
        <v>0</v>
      </c>
      <c r="M18" s="16">
        <f>K18*H18+L18</f>
        <v/>
      </c>
    </row>
    <row r="19">
      <c r="A19" s="25" t="n">
        <v>45678</v>
      </c>
      <c r="B19" s="17" t="inlineStr">
        <is>
          <t>SKU-009</t>
        </is>
      </c>
      <c r="C19" s="18" t="inlineStr">
        <is>
          <t>Ceramide Barrier Repair Cream 50ml</t>
        </is>
      </c>
      <c r="D19" s="17" t="inlineStr">
        <is>
          <t>Amazon</t>
        </is>
      </c>
      <c r="E19" s="22" t="n">
        <v>81</v>
      </c>
      <c r="F19" s="15" t="n">
        <v>29.99</v>
      </c>
      <c r="G19" s="26" t="n">
        <v>0.05</v>
      </c>
      <c r="H19" s="16">
        <f>F19*(1-G19)</f>
        <v/>
      </c>
      <c r="I19" s="16">
        <f>E19*H19</f>
        <v/>
      </c>
      <c r="J19" s="22" t="n">
        <v>5</v>
      </c>
      <c r="K19" s="22" t="n">
        <v>76</v>
      </c>
      <c r="L19" s="15" t="n">
        <v>0</v>
      </c>
      <c r="M19" s="16">
        <f>K19*H19+L19</f>
        <v/>
      </c>
    </row>
    <row r="20">
      <c r="A20" s="27" t="n">
        <v>45679</v>
      </c>
      <c r="B20" s="13" t="inlineStr">
        <is>
          <t>SKU-007</t>
        </is>
      </c>
      <c r="C20" s="14" t="inlineStr">
        <is>
          <t>Collagen Boosting Eye Cream 15ml</t>
        </is>
      </c>
      <c r="D20" s="13" t="inlineStr">
        <is>
          <t>DTC</t>
        </is>
      </c>
      <c r="E20" s="22" t="n">
        <v>66</v>
      </c>
      <c r="F20" s="15" t="n">
        <v>38.99</v>
      </c>
      <c r="G20" s="26" t="n">
        <v>0</v>
      </c>
      <c r="H20" s="16">
        <f>F20*(1-G20)</f>
        <v/>
      </c>
      <c r="I20" s="16">
        <f>E20*H20</f>
        <v/>
      </c>
      <c r="J20" s="22" t="n">
        <v>2</v>
      </c>
      <c r="K20" s="22" t="n">
        <v>64</v>
      </c>
      <c r="L20" s="15" t="n">
        <v>4.99</v>
      </c>
      <c r="M20" s="16">
        <f>K20*H20+L20</f>
        <v/>
      </c>
    </row>
    <row r="21">
      <c r="A21" s="25" t="n">
        <v>45682</v>
      </c>
      <c r="B21" s="17" t="inlineStr">
        <is>
          <t>SKU-002</t>
        </is>
      </c>
      <c r="C21" s="18" t="inlineStr">
        <is>
          <t>Hyaluronic Acid Moisturiser 50ml</t>
        </is>
      </c>
      <c r="D21" s="17" t="inlineStr">
        <is>
          <t>Amazon</t>
        </is>
      </c>
      <c r="E21" s="22" t="n">
        <v>89</v>
      </c>
      <c r="F21" s="15" t="n">
        <v>28.99</v>
      </c>
      <c r="G21" s="26" t="n">
        <v>0.1</v>
      </c>
      <c r="H21" s="16">
        <f>F21*(1-G21)</f>
        <v/>
      </c>
      <c r="I21" s="16">
        <f>E21*H21</f>
        <v/>
      </c>
      <c r="J21" s="22" t="n">
        <v>5</v>
      </c>
      <c r="K21" s="22" t="n">
        <v>84</v>
      </c>
      <c r="L21" s="15" t="n">
        <v>0</v>
      </c>
      <c r="M21" s="16">
        <f>K21*H21+L21</f>
        <v/>
      </c>
    </row>
    <row r="22">
      <c r="A22" s="27" t="n">
        <v>45684</v>
      </c>
      <c r="B22" s="13" t="inlineStr">
        <is>
          <t>SKU-011</t>
        </is>
      </c>
      <c r="C22" s="14" t="inlineStr">
        <is>
          <t>Peptide Firming Serum 30ml</t>
        </is>
      </c>
      <c r="D22" s="13" t="inlineStr">
        <is>
          <t>DTC</t>
        </is>
      </c>
      <c r="E22" s="22" t="n">
        <v>94</v>
      </c>
      <c r="F22" s="15" t="n">
        <v>44.99</v>
      </c>
      <c r="G22" s="26" t="n">
        <v>0.2</v>
      </c>
      <c r="H22" s="16">
        <f>F22*(1-G22)</f>
        <v/>
      </c>
      <c r="I22" s="16">
        <f>E22*H22</f>
        <v/>
      </c>
      <c r="J22" s="22" t="n">
        <v>3</v>
      </c>
      <c r="K22" s="22" t="n">
        <v>91</v>
      </c>
      <c r="L22" s="15" t="n">
        <v>0</v>
      </c>
      <c r="M22" s="16">
        <f>K22*H22+L22</f>
        <v/>
      </c>
    </row>
    <row r="23">
      <c r="A23" s="25" t="n">
        <v>45685</v>
      </c>
      <c r="B23" s="17" t="inlineStr">
        <is>
          <t>SKU-001</t>
        </is>
      </c>
      <c r="C23" s="18" t="inlineStr">
        <is>
          <t>Vitamin C Brightening Serum 30ml</t>
        </is>
      </c>
      <c r="D23" s="17" t="inlineStr">
        <is>
          <t>Amazon</t>
        </is>
      </c>
      <c r="E23" s="22" t="n">
        <v>100</v>
      </c>
      <c r="F23" s="15" t="n">
        <v>34.99</v>
      </c>
      <c r="G23" s="26" t="n">
        <v>0.05</v>
      </c>
      <c r="H23" s="16">
        <f>F23*(1-G23)</f>
        <v/>
      </c>
      <c r="I23" s="16">
        <f>E23*H23</f>
        <v/>
      </c>
      <c r="J23" s="22" t="n">
        <v>6</v>
      </c>
      <c r="K23" s="22" t="n">
        <v>94</v>
      </c>
      <c r="L23" s="15" t="n">
        <v>0</v>
      </c>
      <c r="M23" s="16">
        <f>K23*H23+L23</f>
        <v/>
      </c>
    </row>
    <row r="24">
      <c r="A24" s="27" t="n">
        <v>45686</v>
      </c>
      <c r="B24" s="13" t="inlineStr">
        <is>
          <t>SKU-011</t>
        </is>
      </c>
      <c r="C24" s="14" t="inlineStr">
        <is>
          <t>Peptide Firming Serum 30ml</t>
        </is>
      </c>
      <c r="D24" s="13" t="inlineStr">
        <is>
          <t>DTC</t>
        </is>
      </c>
      <c r="E24" s="22" t="n">
        <v>112</v>
      </c>
      <c r="F24" s="15" t="n">
        <v>44.99</v>
      </c>
      <c r="G24" s="26" t="n">
        <v>0</v>
      </c>
      <c r="H24" s="16">
        <f>F24*(1-G24)</f>
        <v/>
      </c>
      <c r="I24" s="16">
        <f>E24*H24</f>
        <v/>
      </c>
      <c r="J24" s="22" t="n">
        <v>3</v>
      </c>
      <c r="K24" s="22" t="n">
        <v>109</v>
      </c>
      <c r="L24" s="15" t="n">
        <v>0</v>
      </c>
      <c r="M24" s="16">
        <f>K24*H24+L24</f>
        <v/>
      </c>
    </row>
    <row r="25">
      <c r="A25" s="25" t="n">
        <v>45688</v>
      </c>
      <c r="B25" s="17" t="inlineStr">
        <is>
          <t>SKU-001</t>
        </is>
      </c>
      <c r="C25" s="18" t="inlineStr">
        <is>
          <t>Vitamin C Brightening Serum 30ml</t>
        </is>
      </c>
      <c r="D25" s="17" t="inlineStr">
        <is>
          <t>Amazon</t>
        </is>
      </c>
      <c r="E25" s="22" t="n">
        <v>117</v>
      </c>
      <c r="F25" s="15" t="n">
        <v>34.99</v>
      </c>
      <c r="G25" s="26" t="n">
        <v>0.15</v>
      </c>
      <c r="H25" s="16">
        <f>F25*(1-G25)</f>
        <v/>
      </c>
      <c r="I25" s="16">
        <f>E25*H25</f>
        <v/>
      </c>
      <c r="J25" s="22" t="n">
        <v>7</v>
      </c>
      <c r="K25" s="22" t="n">
        <v>110</v>
      </c>
      <c r="L25" s="15" t="n">
        <v>0</v>
      </c>
      <c r="M25" s="16">
        <f>K25*H25+L25</f>
        <v/>
      </c>
    </row>
    <row r="26">
      <c r="A26" s="27" t="n">
        <v>45689</v>
      </c>
      <c r="B26" s="13" t="inlineStr">
        <is>
          <t>SKU-004</t>
        </is>
      </c>
      <c r="C26" s="14" t="inlineStr">
        <is>
          <t>SPF 50+ Daily Sunscreen 75ml</t>
        </is>
      </c>
      <c r="D26" s="13" t="inlineStr">
        <is>
          <t>Amazon</t>
        </is>
      </c>
      <c r="E26" s="22" t="n">
        <v>99</v>
      </c>
      <c r="F26" s="15" t="n">
        <v>22.99</v>
      </c>
      <c r="G26" s="26" t="n">
        <v>0</v>
      </c>
      <c r="H26" s="16">
        <f>F26*(1-G26)</f>
        <v/>
      </c>
      <c r="I26" s="16">
        <f>E26*H26</f>
        <v/>
      </c>
      <c r="J26" s="22" t="n">
        <v>6</v>
      </c>
      <c r="K26" s="22" t="n">
        <v>93</v>
      </c>
      <c r="L26" s="15" t="n">
        <v>0</v>
      </c>
      <c r="M26" s="16">
        <f>K26*H26+L26</f>
        <v/>
      </c>
    </row>
    <row r="27">
      <c r="A27" s="25" t="n">
        <v>45689</v>
      </c>
      <c r="B27" s="17" t="inlineStr">
        <is>
          <t>SKU-003</t>
        </is>
      </c>
      <c r="C27" s="18" t="inlineStr">
        <is>
          <t>Retinol Night Cream 30ml</t>
        </is>
      </c>
      <c r="D27" s="17" t="inlineStr">
        <is>
          <t>DTC</t>
        </is>
      </c>
      <c r="E27" s="22" t="n">
        <v>53</v>
      </c>
      <c r="F27" s="15" t="n">
        <v>42.99</v>
      </c>
      <c r="G27" s="26" t="n">
        <v>0.05</v>
      </c>
      <c r="H27" s="16">
        <f>F27*(1-G27)</f>
        <v/>
      </c>
      <c r="I27" s="16">
        <f>E27*H27</f>
        <v/>
      </c>
      <c r="J27" s="22" t="n">
        <v>2</v>
      </c>
      <c r="K27" s="22" t="n">
        <v>51</v>
      </c>
      <c r="L27" s="15" t="n">
        <v>5.99</v>
      </c>
      <c r="M27" s="16">
        <f>K27*H27+L27</f>
        <v/>
      </c>
    </row>
    <row r="28">
      <c r="A28" s="27" t="n">
        <v>45689</v>
      </c>
      <c r="B28" s="13" t="inlineStr">
        <is>
          <t>SKU-012</t>
        </is>
      </c>
      <c r="C28" s="14" t="inlineStr">
        <is>
          <t>Gentle Foaming Cleanser 150ml</t>
        </is>
      </c>
      <c r="D28" s="13" t="inlineStr">
        <is>
          <t>DTC</t>
        </is>
      </c>
      <c r="E28" s="22" t="n">
        <v>100</v>
      </c>
      <c r="F28" s="15" t="n">
        <v>19.99</v>
      </c>
      <c r="G28" s="26" t="n">
        <v>0.15</v>
      </c>
      <c r="H28" s="16">
        <f>F28*(1-G28)</f>
        <v/>
      </c>
      <c r="I28" s="16">
        <f>E28*H28</f>
        <v/>
      </c>
      <c r="J28" s="22" t="n">
        <v>3</v>
      </c>
      <c r="K28" s="22" t="n">
        <v>97</v>
      </c>
      <c r="L28" s="15" t="n">
        <v>4.99</v>
      </c>
      <c r="M28" s="16">
        <f>K28*H28+L28</f>
        <v/>
      </c>
    </row>
    <row r="29">
      <c r="A29" s="25" t="n">
        <v>45691</v>
      </c>
      <c r="B29" s="17" t="inlineStr">
        <is>
          <t>SKU-009</t>
        </is>
      </c>
      <c r="C29" s="18" t="inlineStr">
        <is>
          <t>Ceramide Barrier Repair Cream 50ml</t>
        </is>
      </c>
      <c r="D29" s="17" t="inlineStr">
        <is>
          <t>Amazon</t>
        </is>
      </c>
      <c r="E29" s="22" t="n">
        <v>69</v>
      </c>
      <c r="F29" s="15" t="n">
        <v>29.99</v>
      </c>
      <c r="G29" s="26" t="n">
        <v>0</v>
      </c>
      <c r="H29" s="16">
        <f>F29*(1-G29)</f>
        <v/>
      </c>
      <c r="I29" s="16">
        <f>E29*H29</f>
        <v/>
      </c>
      <c r="J29" s="22" t="n">
        <v>4</v>
      </c>
      <c r="K29" s="22" t="n">
        <v>65</v>
      </c>
      <c r="L29" s="15" t="n">
        <v>0</v>
      </c>
      <c r="M29" s="16">
        <f>K29*H29+L29</f>
        <v/>
      </c>
    </row>
    <row r="30">
      <c r="A30" s="27" t="n">
        <v>45693</v>
      </c>
      <c r="B30" s="13" t="inlineStr">
        <is>
          <t>SKU-001</t>
        </is>
      </c>
      <c r="C30" s="14" t="inlineStr">
        <is>
          <t>Vitamin C Brightening Serum 30ml</t>
        </is>
      </c>
      <c r="D30" s="13" t="inlineStr">
        <is>
          <t>Amazon</t>
        </is>
      </c>
      <c r="E30" s="22" t="n">
        <v>94</v>
      </c>
      <c r="F30" s="15" t="n">
        <v>34.99</v>
      </c>
      <c r="G30" s="26" t="n">
        <v>0.1</v>
      </c>
      <c r="H30" s="16">
        <f>F30*(1-G30)</f>
        <v/>
      </c>
      <c r="I30" s="16">
        <f>E30*H30</f>
        <v/>
      </c>
      <c r="J30" s="22" t="n">
        <v>6</v>
      </c>
      <c r="K30" s="22" t="n">
        <v>88</v>
      </c>
      <c r="L30" s="15" t="n">
        <v>0</v>
      </c>
      <c r="M30" s="16">
        <f>K30*H30+L30</f>
        <v/>
      </c>
    </row>
    <row r="31">
      <c r="A31" s="25" t="n">
        <v>45693</v>
      </c>
      <c r="B31" s="17" t="inlineStr">
        <is>
          <t>SKU-011</t>
        </is>
      </c>
      <c r="C31" s="18" t="inlineStr">
        <is>
          <t>Peptide Firming Serum 30ml</t>
        </is>
      </c>
      <c r="D31" s="17" t="inlineStr">
        <is>
          <t>DTC</t>
        </is>
      </c>
      <c r="E31" s="22" t="n">
        <v>32</v>
      </c>
      <c r="F31" s="15" t="n">
        <v>44.99</v>
      </c>
      <c r="G31" s="26" t="n">
        <v>0.15</v>
      </c>
      <c r="H31" s="16">
        <f>F31*(1-G31)</f>
        <v/>
      </c>
      <c r="I31" s="16">
        <f>E31*H31</f>
        <v/>
      </c>
      <c r="J31" s="22" t="n">
        <v>1</v>
      </c>
      <c r="K31" s="22" t="n">
        <v>31</v>
      </c>
      <c r="L31" s="15" t="n">
        <v>0</v>
      </c>
      <c r="M31" s="16">
        <f>K31*H31+L31</f>
        <v/>
      </c>
    </row>
    <row r="32">
      <c r="A32" s="27" t="n">
        <v>45693</v>
      </c>
      <c r="B32" s="13" t="inlineStr">
        <is>
          <t>SKU-008</t>
        </is>
      </c>
      <c r="C32" s="14" t="inlineStr">
        <is>
          <t>Rose Hip Facial Oil 30ml</t>
        </is>
      </c>
      <c r="D32" s="13" t="inlineStr">
        <is>
          <t>Amazon</t>
        </is>
      </c>
      <c r="E32" s="22" t="n">
        <v>116</v>
      </c>
      <c r="F32" s="15" t="n">
        <v>35.99</v>
      </c>
      <c r="G32" s="26" t="n">
        <v>0</v>
      </c>
      <c r="H32" s="16">
        <f>F32*(1-G32)</f>
        <v/>
      </c>
      <c r="I32" s="16">
        <f>E32*H32</f>
        <v/>
      </c>
      <c r="J32" s="22" t="n">
        <v>7</v>
      </c>
      <c r="K32" s="22" t="n">
        <v>109</v>
      </c>
      <c r="L32" s="15" t="n">
        <v>0</v>
      </c>
      <c r="M32" s="16">
        <f>K32*H32+L32</f>
        <v/>
      </c>
    </row>
    <row r="33">
      <c r="A33" s="25" t="n">
        <v>45697</v>
      </c>
      <c r="B33" s="17" t="inlineStr">
        <is>
          <t>SKU-007</t>
        </is>
      </c>
      <c r="C33" s="18" t="inlineStr">
        <is>
          <t>Collagen Boosting Eye Cream 15ml</t>
        </is>
      </c>
      <c r="D33" s="17" t="inlineStr">
        <is>
          <t>DTC</t>
        </is>
      </c>
      <c r="E33" s="22" t="n">
        <v>61</v>
      </c>
      <c r="F33" s="15" t="n">
        <v>38.99</v>
      </c>
      <c r="G33" s="26" t="n">
        <v>0.15</v>
      </c>
      <c r="H33" s="16">
        <f>F33*(1-G33)</f>
        <v/>
      </c>
      <c r="I33" s="16">
        <f>E33*H33</f>
        <v/>
      </c>
      <c r="J33" s="22" t="n">
        <v>2</v>
      </c>
      <c r="K33" s="22" t="n">
        <v>59</v>
      </c>
      <c r="L33" s="15" t="n">
        <v>4.99</v>
      </c>
      <c r="M33" s="16">
        <f>K33*H33+L33</f>
        <v/>
      </c>
    </row>
    <row r="34">
      <c r="A34" s="27" t="n">
        <v>45701</v>
      </c>
      <c r="B34" s="13" t="inlineStr">
        <is>
          <t>SKU-005</t>
        </is>
      </c>
      <c r="C34" s="14" t="inlineStr">
        <is>
          <t>AHA/BHA Exfoliating Toner 200ml</t>
        </is>
      </c>
      <c r="D34" s="13" t="inlineStr">
        <is>
          <t>Amazon</t>
        </is>
      </c>
      <c r="E34" s="22" t="n">
        <v>32</v>
      </c>
      <c r="F34" s="15" t="n">
        <v>26.99</v>
      </c>
      <c r="G34" s="26" t="n">
        <v>0.05</v>
      </c>
      <c r="H34" s="16">
        <f>F34*(1-G34)</f>
        <v/>
      </c>
      <c r="I34" s="16">
        <f>E34*H34</f>
        <v/>
      </c>
      <c r="J34" s="22" t="n">
        <v>2</v>
      </c>
      <c r="K34" s="22" t="n">
        <v>30</v>
      </c>
      <c r="L34" s="15" t="n">
        <v>0</v>
      </c>
      <c r="M34" s="16">
        <f>K34*H34+L34</f>
        <v/>
      </c>
    </row>
    <row r="35">
      <c r="A35" s="25" t="n">
        <v>45701</v>
      </c>
      <c r="B35" s="17" t="inlineStr">
        <is>
          <t>SKU-002</t>
        </is>
      </c>
      <c r="C35" s="18" t="inlineStr">
        <is>
          <t>Hyaluronic Acid Moisturiser 50ml</t>
        </is>
      </c>
      <c r="D35" s="17" t="inlineStr">
        <is>
          <t>Amazon</t>
        </is>
      </c>
      <c r="E35" s="22" t="n">
        <v>29</v>
      </c>
      <c r="F35" s="15" t="n">
        <v>28.99</v>
      </c>
      <c r="G35" s="26" t="n">
        <v>0</v>
      </c>
      <c r="H35" s="16">
        <f>F35*(1-G35)</f>
        <v/>
      </c>
      <c r="I35" s="16">
        <f>E35*H35</f>
        <v/>
      </c>
      <c r="J35" s="22" t="n">
        <v>2</v>
      </c>
      <c r="K35" s="22" t="n">
        <v>27</v>
      </c>
      <c r="L35" s="15" t="n">
        <v>0</v>
      </c>
      <c r="M35" s="16">
        <f>K35*H35+L35</f>
        <v/>
      </c>
    </row>
    <row r="36">
      <c r="A36" s="27" t="n">
        <v>45703</v>
      </c>
      <c r="B36" s="13" t="inlineStr">
        <is>
          <t>SKU-007</t>
        </is>
      </c>
      <c r="C36" s="14" t="inlineStr">
        <is>
          <t>Collagen Boosting Eye Cream 15ml</t>
        </is>
      </c>
      <c r="D36" s="13" t="inlineStr">
        <is>
          <t>DTC</t>
        </is>
      </c>
      <c r="E36" s="22" t="n">
        <v>64</v>
      </c>
      <c r="F36" s="15" t="n">
        <v>38.99</v>
      </c>
      <c r="G36" s="26" t="n">
        <v>0.2</v>
      </c>
      <c r="H36" s="16">
        <f>F36*(1-G36)</f>
        <v/>
      </c>
      <c r="I36" s="16">
        <f>E36*H36</f>
        <v/>
      </c>
      <c r="J36" s="22" t="n">
        <v>2</v>
      </c>
      <c r="K36" s="22" t="n">
        <v>62</v>
      </c>
      <c r="L36" s="15" t="n">
        <v>0</v>
      </c>
      <c r="M36" s="16">
        <f>K36*H36+L36</f>
        <v/>
      </c>
    </row>
    <row r="37">
      <c r="A37" s="25" t="n">
        <v>45708</v>
      </c>
      <c r="B37" s="17" t="inlineStr">
        <is>
          <t>SKU-011</t>
        </is>
      </c>
      <c r="C37" s="18" t="inlineStr">
        <is>
          <t>Peptide Firming Serum 30ml</t>
        </is>
      </c>
      <c r="D37" s="17" t="inlineStr">
        <is>
          <t>DTC</t>
        </is>
      </c>
      <c r="E37" s="22" t="n">
        <v>23</v>
      </c>
      <c r="F37" s="15" t="n">
        <v>44.99</v>
      </c>
      <c r="G37" s="26" t="n">
        <v>0.05</v>
      </c>
      <c r="H37" s="16">
        <f>F37*(1-G37)</f>
        <v/>
      </c>
      <c r="I37" s="16">
        <f>E37*H37</f>
        <v/>
      </c>
      <c r="J37" s="22" t="n">
        <v>1</v>
      </c>
      <c r="K37" s="22" t="n">
        <v>22</v>
      </c>
      <c r="L37" s="15" t="n">
        <v>0</v>
      </c>
      <c r="M37" s="16">
        <f>K37*H37+L37</f>
        <v/>
      </c>
    </row>
    <row r="38">
      <c r="A38" s="27" t="n">
        <v>45712</v>
      </c>
      <c r="B38" s="13" t="inlineStr">
        <is>
          <t>SKU-010</t>
        </is>
      </c>
      <c r="C38" s="14" t="inlineStr">
        <is>
          <t>Micellar Cleansing Water 250ml</t>
        </is>
      </c>
      <c r="D38" s="13" t="inlineStr">
        <is>
          <t>Amazon</t>
        </is>
      </c>
      <c r="E38" s="22" t="n">
        <v>54</v>
      </c>
      <c r="F38" s="15" t="n">
        <v>18.99</v>
      </c>
      <c r="G38" s="26" t="n">
        <v>0.1</v>
      </c>
      <c r="H38" s="16">
        <f>F38*(1-G38)</f>
        <v/>
      </c>
      <c r="I38" s="16">
        <f>E38*H38</f>
        <v/>
      </c>
      <c r="J38" s="22" t="n">
        <v>3</v>
      </c>
      <c r="K38" s="22" t="n">
        <v>51</v>
      </c>
      <c r="L38" s="15" t="n">
        <v>0</v>
      </c>
      <c r="M38" s="16">
        <f>K38*H38+L38</f>
        <v/>
      </c>
    </row>
    <row r="39">
      <c r="A39" s="25" t="n">
        <v>45714</v>
      </c>
      <c r="B39" s="17" t="inlineStr">
        <is>
          <t>SKU-009</t>
        </is>
      </c>
      <c r="C39" s="18" t="inlineStr">
        <is>
          <t>Ceramide Barrier Repair Cream 50ml</t>
        </is>
      </c>
      <c r="D39" s="17" t="inlineStr">
        <is>
          <t>Amazon</t>
        </is>
      </c>
      <c r="E39" s="22" t="n">
        <v>11</v>
      </c>
      <c r="F39" s="15" t="n">
        <v>29.99</v>
      </c>
      <c r="G39" s="26" t="n">
        <v>0.2</v>
      </c>
      <c r="H39" s="16">
        <f>F39*(1-G39)</f>
        <v/>
      </c>
      <c r="I39" s="16">
        <f>E39*H39</f>
        <v/>
      </c>
      <c r="J39" s="22" t="n">
        <v>1</v>
      </c>
      <c r="K39" s="22" t="n">
        <v>10</v>
      </c>
      <c r="L39" s="15" t="n">
        <v>0</v>
      </c>
      <c r="M39" s="16">
        <f>K39*H39+L39</f>
        <v/>
      </c>
    </row>
    <row r="40">
      <c r="A40" s="27" t="n">
        <v>45716</v>
      </c>
      <c r="B40" s="13" t="inlineStr">
        <is>
          <t>SKU-011</t>
        </is>
      </c>
      <c r="C40" s="14" t="inlineStr">
        <is>
          <t>Peptide Firming Serum 30ml</t>
        </is>
      </c>
      <c r="D40" s="13" t="inlineStr">
        <is>
          <t>DTC</t>
        </is>
      </c>
      <c r="E40" s="22" t="n">
        <v>25</v>
      </c>
      <c r="F40" s="15" t="n">
        <v>44.99</v>
      </c>
      <c r="G40" s="26" t="n">
        <v>0.05</v>
      </c>
      <c r="H40" s="16">
        <f>F40*(1-G40)</f>
        <v/>
      </c>
      <c r="I40" s="16">
        <f>E40*H40</f>
        <v/>
      </c>
      <c r="J40" s="22" t="n">
        <v>1</v>
      </c>
      <c r="K40" s="22" t="n">
        <v>24</v>
      </c>
      <c r="L40" s="15" t="n">
        <v>3.99</v>
      </c>
      <c r="M40" s="16">
        <f>K40*H40+L40</f>
        <v/>
      </c>
    </row>
    <row r="41">
      <c r="A41" s="25" t="n">
        <v>45716</v>
      </c>
      <c r="B41" s="17" t="inlineStr">
        <is>
          <t>SKU-005</t>
        </is>
      </c>
      <c r="C41" s="18" t="inlineStr">
        <is>
          <t>AHA/BHA Exfoliating Toner 200ml</t>
        </is>
      </c>
      <c r="D41" s="17" t="inlineStr">
        <is>
          <t>DTC</t>
        </is>
      </c>
      <c r="E41" s="22" t="n">
        <v>94</v>
      </c>
      <c r="F41" s="15" t="n">
        <v>26.99</v>
      </c>
      <c r="G41" s="26" t="n">
        <v>0.2</v>
      </c>
      <c r="H41" s="16">
        <f>F41*(1-G41)</f>
        <v/>
      </c>
      <c r="I41" s="16">
        <f>E41*H41</f>
        <v/>
      </c>
      <c r="J41" s="22" t="n">
        <v>3</v>
      </c>
      <c r="K41" s="22" t="n">
        <v>91</v>
      </c>
      <c r="L41" s="15" t="n">
        <v>5.99</v>
      </c>
      <c r="M41" s="16">
        <f>K41*H41+L41</f>
        <v/>
      </c>
    </row>
    <row r="42">
      <c r="A42" s="27" t="n">
        <v>45720</v>
      </c>
      <c r="B42" s="13" t="inlineStr">
        <is>
          <t>SKU-001</t>
        </is>
      </c>
      <c r="C42" s="14" t="inlineStr">
        <is>
          <t>Vitamin C Brightening Serum 30ml</t>
        </is>
      </c>
      <c r="D42" s="13" t="inlineStr">
        <is>
          <t>Amazon</t>
        </is>
      </c>
      <c r="E42" s="22" t="n">
        <v>51</v>
      </c>
      <c r="F42" s="15" t="n">
        <v>34.99</v>
      </c>
      <c r="G42" s="26" t="n">
        <v>0.05</v>
      </c>
      <c r="H42" s="16">
        <f>F42*(1-G42)</f>
        <v/>
      </c>
      <c r="I42" s="16">
        <f>E42*H42</f>
        <v/>
      </c>
      <c r="J42" s="22" t="n">
        <v>3</v>
      </c>
      <c r="K42" s="22" t="n">
        <v>48</v>
      </c>
      <c r="L42" s="15" t="n">
        <v>0</v>
      </c>
      <c r="M42" s="16">
        <f>K42*H42+L42</f>
        <v/>
      </c>
    </row>
    <row r="43">
      <c r="A43" s="25" t="n">
        <v>45721</v>
      </c>
      <c r="B43" s="17" t="inlineStr">
        <is>
          <t>SKU-002</t>
        </is>
      </c>
      <c r="C43" s="18" t="inlineStr">
        <is>
          <t>Hyaluronic Acid Moisturiser 50ml</t>
        </is>
      </c>
      <c r="D43" s="17" t="inlineStr">
        <is>
          <t>Amazon</t>
        </is>
      </c>
      <c r="E43" s="22" t="n">
        <v>115</v>
      </c>
      <c r="F43" s="15" t="n">
        <v>28.99</v>
      </c>
      <c r="G43" s="26" t="n">
        <v>0</v>
      </c>
      <c r="H43" s="16">
        <f>F43*(1-G43)</f>
        <v/>
      </c>
      <c r="I43" s="16">
        <f>E43*H43</f>
        <v/>
      </c>
      <c r="J43" s="22" t="n">
        <v>7</v>
      </c>
      <c r="K43" s="22" t="n">
        <v>108</v>
      </c>
      <c r="L43" s="15" t="n">
        <v>0</v>
      </c>
      <c r="M43" s="16">
        <f>K43*H43+L43</f>
        <v/>
      </c>
    </row>
    <row r="44">
      <c r="A44" s="27" t="n">
        <v>45722</v>
      </c>
      <c r="B44" s="13" t="inlineStr">
        <is>
          <t>SKU-010</t>
        </is>
      </c>
      <c r="C44" s="14" t="inlineStr">
        <is>
          <t>Micellar Cleansing Water 250ml</t>
        </is>
      </c>
      <c r="D44" s="13" t="inlineStr">
        <is>
          <t>Amazon</t>
        </is>
      </c>
      <c r="E44" s="22" t="n">
        <v>76</v>
      </c>
      <c r="F44" s="15" t="n">
        <v>18.99</v>
      </c>
      <c r="G44" s="26" t="n">
        <v>0</v>
      </c>
      <c r="H44" s="16">
        <f>F44*(1-G44)</f>
        <v/>
      </c>
      <c r="I44" s="16">
        <f>E44*H44</f>
        <v/>
      </c>
      <c r="J44" s="22" t="n">
        <v>5</v>
      </c>
      <c r="K44" s="22" t="n">
        <v>71</v>
      </c>
      <c r="L44" s="15" t="n">
        <v>0</v>
      </c>
      <c r="M44" s="16">
        <f>K44*H44+L44</f>
        <v/>
      </c>
    </row>
    <row r="45">
      <c r="A45" s="25" t="n">
        <v>45725</v>
      </c>
      <c r="B45" s="17" t="inlineStr">
        <is>
          <t>SKU-010</t>
        </is>
      </c>
      <c r="C45" s="18" t="inlineStr">
        <is>
          <t>Micellar Cleansing Water 250ml</t>
        </is>
      </c>
      <c r="D45" s="17" t="inlineStr">
        <is>
          <t>DTC</t>
        </is>
      </c>
      <c r="E45" s="22" t="n">
        <v>32</v>
      </c>
      <c r="F45" s="15" t="n">
        <v>18.99</v>
      </c>
      <c r="G45" s="26" t="n">
        <v>0.15</v>
      </c>
      <c r="H45" s="16">
        <f>F45*(1-G45)</f>
        <v/>
      </c>
      <c r="I45" s="16">
        <f>E45*H45</f>
        <v/>
      </c>
      <c r="J45" s="22" t="n">
        <v>1</v>
      </c>
      <c r="K45" s="22" t="n">
        <v>31</v>
      </c>
      <c r="L45" s="15" t="n">
        <v>0</v>
      </c>
      <c r="M45" s="16">
        <f>K45*H45+L45</f>
        <v/>
      </c>
    </row>
    <row r="46">
      <c r="A46" s="27" t="n">
        <v>45726</v>
      </c>
      <c r="B46" s="13" t="inlineStr">
        <is>
          <t>SKU-002</t>
        </is>
      </c>
      <c r="C46" s="14" t="inlineStr">
        <is>
          <t>Hyaluronic Acid Moisturiser 50ml</t>
        </is>
      </c>
      <c r="D46" s="13" t="inlineStr">
        <is>
          <t>DTC</t>
        </is>
      </c>
      <c r="E46" s="22" t="n">
        <v>15</v>
      </c>
      <c r="F46" s="15" t="n">
        <v>28.99</v>
      </c>
      <c r="G46" s="26" t="n">
        <v>0.15</v>
      </c>
      <c r="H46" s="16">
        <f>F46*(1-G46)</f>
        <v/>
      </c>
      <c r="I46" s="16">
        <f>E46*H46</f>
        <v/>
      </c>
      <c r="J46" s="22" t="n">
        <v>0</v>
      </c>
      <c r="K46" s="22" t="n">
        <v>15</v>
      </c>
      <c r="L46" s="15" t="n">
        <v>3.99</v>
      </c>
      <c r="M46" s="16">
        <f>K46*H46+L46</f>
        <v/>
      </c>
    </row>
    <row r="47">
      <c r="A47" s="25" t="n">
        <v>45726</v>
      </c>
      <c r="B47" s="17" t="inlineStr">
        <is>
          <t>SKU-008</t>
        </is>
      </c>
      <c r="C47" s="18" t="inlineStr">
        <is>
          <t>Rose Hip Facial Oil 30ml</t>
        </is>
      </c>
      <c r="D47" s="17" t="inlineStr">
        <is>
          <t>Amazon</t>
        </is>
      </c>
      <c r="E47" s="22" t="n">
        <v>59</v>
      </c>
      <c r="F47" s="15" t="n">
        <v>35.99</v>
      </c>
      <c r="G47" s="26" t="n">
        <v>0</v>
      </c>
      <c r="H47" s="16">
        <f>F47*(1-G47)</f>
        <v/>
      </c>
      <c r="I47" s="16">
        <f>E47*H47</f>
        <v/>
      </c>
      <c r="J47" s="22" t="n">
        <v>4</v>
      </c>
      <c r="K47" s="22" t="n">
        <v>55</v>
      </c>
      <c r="L47" s="15" t="n">
        <v>0</v>
      </c>
      <c r="M47" s="16">
        <f>K47*H47+L47</f>
        <v/>
      </c>
    </row>
    <row r="48">
      <c r="A48" s="27" t="n">
        <v>45727</v>
      </c>
      <c r="B48" s="13" t="inlineStr">
        <is>
          <t>SKU-001</t>
        </is>
      </c>
      <c r="C48" s="14" t="inlineStr">
        <is>
          <t>Vitamin C Brightening Serum 30ml</t>
        </is>
      </c>
      <c r="D48" s="13" t="inlineStr">
        <is>
          <t>Amazon</t>
        </is>
      </c>
      <c r="E48" s="22" t="n">
        <v>101</v>
      </c>
      <c r="F48" s="15" t="n">
        <v>34.99</v>
      </c>
      <c r="G48" s="26" t="n">
        <v>0</v>
      </c>
      <c r="H48" s="16">
        <f>F48*(1-G48)</f>
        <v/>
      </c>
      <c r="I48" s="16">
        <f>E48*H48</f>
        <v/>
      </c>
      <c r="J48" s="22" t="n">
        <v>6</v>
      </c>
      <c r="K48" s="22" t="n">
        <v>95</v>
      </c>
      <c r="L48" s="15" t="n">
        <v>0</v>
      </c>
      <c r="M48" s="16">
        <f>K48*H48+L48</f>
        <v/>
      </c>
    </row>
    <row r="49">
      <c r="A49" s="25" t="n">
        <v>45730</v>
      </c>
      <c r="B49" s="17" t="inlineStr">
        <is>
          <t>SKU-012</t>
        </is>
      </c>
      <c r="C49" s="18" t="inlineStr">
        <is>
          <t>Gentle Foaming Cleanser 150ml</t>
        </is>
      </c>
      <c r="D49" s="17" t="inlineStr">
        <is>
          <t>DTC</t>
        </is>
      </c>
      <c r="E49" s="22" t="n">
        <v>32</v>
      </c>
      <c r="F49" s="15" t="n">
        <v>19.99</v>
      </c>
      <c r="G49" s="26" t="n">
        <v>0.2</v>
      </c>
      <c r="H49" s="16">
        <f>F49*(1-G49)</f>
        <v/>
      </c>
      <c r="I49" s="16">
        <f>E49*H49</f>
        <v/>
      </c>
      <c r="J49" s="22" t="n">
        <v>1</v>
      </c>
      <c r="K49" s="22" t="n">
        <v>31</v>
      </c>
      <c r="L49" s="15" t="n">
        <v>4.99</v>
      </c>
      <c r="M49" s="16">
        <f>K49*H49+L49</f>
        <v/>
      </c>
    </row>
    <row r="50">
      <c r="A50" s="27" t="n">
        <v>45731</v>
      </c>
      <c r="B50" s="13" t="inlineStr">
        <is>
          <t>SKU-010</t>
        </is>
      </c>
      <c r="C50" s="14" t="inlineStr">
        <is>
          <t>Micellar Cleansing Water 250ml</t>
        </is>
      </c>
      <c r="D50" s="13" t="inlineStr">
        <is>
          <t>DTC</t>
        </is>
      </c>
      <c r="E50" s="22" t="n">
        <v>36</v>
      </c>
      <c r="F50" s="15" t="n">
        <v>18.99</v>
      </c>
      <c r="G50" s="26" t="n">
        <v>0.1</v>
      </c>
      <c r="H50" s="16">
        <f>F50*(1-G50)</f>
        <v/>
      </c>
      <c r="I50" s="16">
        <f>E50*H50</f>
        <v/>
      </c>
      <c r="J50" s="22" t="n">
        <v>1</v>
      </c>
      <c r="K50" s="22" t="n">
        <v>35</v>
      </c>
      <c r="L50" s="15" t="n">
        <v>4.99</v>
      </c>
      <c r="M50" s="16">
        <f>K50*H50+L50</f>
        <v/>
      </c>
    </row>
    <row r="51">
      <c r="A51" s="25" t="n">
        <v>45732</v>
      </c>
      <c r="B51" s="17" t="inlineStr">
        <is>
          <t>SKU-007</t>
        </is>
      </c>
      <c r="C51" s="18" t="inlineStr">
        <is>
          <t>Collagen Boosting Eye Cream 15ml</t>
        </is>
      </c>
      <c r="D51" s="17" t="inlineStr">
        <is>
          <t>DTC</t>
        </is>
      </c>
      <c r="E51" s="22" t="n">
        <v>33</v>
      </c>
      <c r="F51" s="15" t="n">
        <v>38.99</v>
      </c>
      <c r="G51" s="26" t="n">
        <v>0</v>
      </c>
      <c r="H51" s="16">
        <f>F51*(1-G51)</f>
        <v/>
      </c>
      <c r="I51" s="16">
        <f>E51*H51</f>
        <v/>
      </c>
      <c r="J51" s="22" t="n">
        <v>1</v>
      </c>
      <c r="K51" s="22" t="n">
        <v>32</v>
      </c>
      <c r="L51" s="15" t="n">
        <v>5.99</v>
      </c>
      <c r="M51" s="16">
        <f>K51*H51+L51</f>
        <v/>
      </c>
    </row>
    <row r="52">
      <c r="A52" s="27" t="n">
        <v>45734</v>
      </c>
      <c r="B52" s="13" t="inlineStr">
        <is>
          <t>SKU-008</t>
        </is>
      </c>
      <c r="C52" s="14" t="inlineStr">
        <is>
          <t>Rose Hip Facial Oil 30ml</t>
        </is>
      </c>
      <c r="D52" s="13" t="inlineStr">
        <is>
          <t>DTC</t>
        </is>
      </c>
      <c r="E52" s="22" t="n">
        <v>75</v>
      </c>
      <c r="F52" s="15" t="n">
        <v>35.99</v>
      </c>
      <c r="G52" s="26" t="n">
        <v>0</v>
      </c>
      <c r="H52" s="16">
        <f>F52*(1-G52)</f>
        <v/>
      </c>
      <c r="I52" s="16">
        <f>E52*H52</f>
        <v/>
      </c>
      <c r="J52" s="22" t="n">
        <v>2</v>
      </c>
      <c r="K52" s="22" t="n">
        <v>73</v>
      </c>
      <c r="L52" s="15" t="n">
        <v>0</v>
      </c>
      <c r="M52" s="16">
        <f>K52*H52+L52</f>
        <v/>
      </c>
    </row>
    <row r="53">
      <c r="A53" s="25" t="n">
        <v>45735</v>
      </c>
      <c r="B53" s="17" t="inlineStr">
        <is>
          <t>SKU-005</t>
        </is>
      </c>
      <c r="C53" s="18" t="inlineStr">
        <is>
          <t>AHA/BHA Exfoliating Toner 200ml</t>
        </is>
      </c>
      <c r="D53" s="17" t="inlineStr">
        <is>
          <t>Amazon</t>
        </is>
      </c>
      <c r="E53" s="22" t="n">
        <v>98</v>
      </c>
      <c r="F53" s="15" t="n">
        <v>26.99</v>
      </c>
      <c r="G53" s="26" t="n">
        <v>0.1</v>
      </c>
      <c r="H53" s="16">
        <f>F53*(1-G53)</f>
        <v/>
      </c>
      <c r="I53" s="16">
        <f>E53*H53</f>
        <v/>
      </c>
      <c r="J53" s="22" t="n">
        <v>6</v>
      </c>
      <c r="K53" s="22" t="n">
        <v>92</v>
      </c>
      <c r="L53" s="15" t="n">
        <v>0</v>
      </c>
      <c r="M53" s="16">
        <f>K53*H53+L53</f>
        <v/>
      </c>
    </row>
    <row r="54">
      <c r="A54" s="27" t="n">
        <v>45735</v>
      </c>
      <c r="B54" s="13" t="inlineStr">
        <is>
          <t>SKU-011</t>
        </is>
      </c>
      <c r="C54" s="14" t="inlineStr">
        <is>
          <t>Peptide Firming Serum 30ml</t>
        </is>
      </c>
      <c r="D54" s="13" t="inlineStr">
        <is>
          <t>Amazon</t>
        </is>
      </c>
      <c r="E54" s="22" t="n">
        <v>73</v>
      </c>
      <c r="F54" s="15" t="n">
        <v>44.99</v>
      </c>
      <c r="G54" s="26" t="n">
        <v>0.2</v>
      </c>
      <c r="H54" s="16">
        <f>F54*(1-G54)</f>
        <v/>
      </c>
      <c r="I54" s="16">
        <f>E54*H54</f>
        <v/>
      </c>
      <c r="J54" s="22" t="n">
        <v>4</v>
      </c>
      <c r="K54" s="22" t="n">
        <v>69</v>
      </c>
      <c r="L54" s="15" t="n">
        <v>0</v>
      </c>
      <c r="M54" s="16">
        <f>K54*H54+L54</f>
        <v/>
      </c>
    </row>
    <row r="55">
      <c r="A55" s="25" t="n">
        <v>45738</v>
      </c>
      <c r="B55" s="17" t="inlineStr">
        <is>
          <t>SKU-010</t>
        </is>
      </c>
      <c r="C55" s="18" t="inlineStr">
        <is>
          <t>Micellar Cleansing Water 250ml</t>
        </is>
      </c>
      <c r="D55" s="17" t="inlineStr">
        <is>
          <t>DTC</t>
        </is>
      </c>
      <c r="E55" s="22" t="n">
        <v>78</v>
      </c>
      <c r="F55" s="15" t="n">
        <v>18.99</v>
      </c>
      <c r="G55" s="26" t="n">
        <v>0</v>
      </c>
      <c r="H55" s="16">
        <f>F55*(1-G55)</f>
        <v/>
      </c>
      <c r="I55" s="16">
        <f>E55*H55</f>
        <v/>
      </c>
      <c r="J55" s="22" t="n">
        <v>2</v>
      </c>
      <c r="K55" s="22" t="n">
        <v>76</v>
      </c>
      <c r="L55" s="15" t="n">
        <v>0</v>
      </c>
      <c r="M55" s="16">
        <f>K55*H55+L55</f>
        <v/>
      </c>
    </row>
    <row r="56">
      <c r="A56" s="27" t="n">
        <v>45738</v>
      </c>
      <c r="B56" s="13" t="inlineStr">
        <is>
          <t>SKU-005</t>
        </is>
      </c>
      <c r="C56" s="14" t="inlineStr">
        <is>
          <t>AHA/BHA Exfoliating Toner 200ml</t>
        </is>
      </c>
      <c r="D56" s="13" t="inlineStr">
        <is>
          <t>Amazon</t>
        </is>
      </c>
      <c r="E56" s="22" t="n">
        <v>24</v>
      </c>
      <c r="F56" s="15" t="n">
        <v>26.99</v>
      </c>
      <c r="G56" s="26" t="n">
        <v>0.05</v>
      </c>
      <c r="H56" s="16">
        <f>F56*(1-G56)</f>
        <v/>
      </c>
      <c r="I56" s="16">
        <f>E56*H56</f>
        <v/>
      </c>
      <c r="J56" s="22" t="n">
        <v>1</v>
      </c>
      <c r="K56" s="22" t="n">
        <v>23</v>
      </c>
      <c r="L56" s="15" t="n">
        <v>0</v>
      </c>
      <c r="M56" s="16">
        <f>K56*H56+L56</f>
        <v/>
      </c>
    </row>
    <row r="57">
      <c r="A57" s="25" t="n">
        <v>45739</v>
      </c>
      <c r="B57" s="17" t="inlineStr">
        <is>
          <t>SKU-002</t>
        </is>
      </c>
      <c r="C57" s="18" t="inlineStr">
        <is>
          <t>Hyaluronic Acid Moisturiser 50ml</t>
        </is>
      </c>
      <c r="D57" s="17" t="inlineStr">
        <is>
          <t>Amazon</t>
        </is>
      </c>
      <c r="E57" s="22" t="n">
        <v>99</v>
      </c>
      <c r="F57" s="15" t="n">
        <v>28.99</v>
      </c>
      <c r="G57" s="26" t="n">
        <v>0.05</v>
      </c>
      <c r="H57" s="16">
        <f>F57*(1-G57)</f>
        <v/>
      </c>
      <c r="I57" s="16">
        <f>E57*H57</f>
        <v/>
      </c>
      <c r="J57" s="22" t="n">
        <v>6</v>
      </c>
      <c r="K57" s="22" t="n">
        <v>93</v>
      </c>
      <c r="L57" s="15" t="n">
        <v>0</v>
      </c>
      <c r="M57" s="16">
        <f>K57*H57+L57</f>
        <v/>
      </c>
    </row>
    <row r="58">
      <c r="A58" s="27" t="n">
        <v>45741</v>
      </c>
      <c r="B58" s="13" t="inlineStr">
        <is>
          <t>SKU-012</t>
        </is>
      </c>
      <c r="C58" s="14" t="inlineStr">
        <is>
          <t>Gentle Foaming Cleanser 150ml</t>
        </is>
      </c>
      <c r="D58" s="13" t="inlineStr">
        <is>
          <t>DTC</t>
        </is>
      </c>
      <c r="E58" s="22" t="n">
        <v>33</v>
      </c>
      <c r="F58" s="15" t="n">
        <v>19.99</v>
      </c>
      <c r="G58" s="26" t="n">
        <v>0.1</v>
      </c>
      <c r="H58" s="16">
        <f>F58*(1-G58)</f>
        <v/>
      </c>
      <c r="I58" s="16">
        <f>E58*H58</f>
        <v/>
      </c>
      <c r="J58" s="22" t="n">
        <v>1</v>
      </c>
      <c r="K58" s="22" t="n">
        <v>32</v>
      </c>
      <c r="L58" s="15" t="n">
        <v>5.99</v>
      </c>
      <c r="M58" s="16">
        <f>K58*H58+L58</f>
        <v/>
      </c>
    </row>
    <row r="59">
      <c r="A59" s="25" t="n">
        <v>45742</v>
      </c>
      <c r="B59" s="17" t="inlineStr">
        <is>
          <t>SKU-012</t>
        </is>
      </c>
      <c r="C59" s="18" t="inlineStr">
        <is>
          <t>Gentle Foaming Cleanser 150ml</t>
        </is>
      </c>
      <c r="D59" s="17" t="inlineStr">
        <is>
          <t>DTC</t>
        </is>
      </c>
      <c r="E59" s="22" t="n">
        <v>24</v>
      </c>
      <c r="F59" s="15" t="n">
        <v>19.99</v>
      </c>
      <c r="G59" s="26" t="n">
        <v>0</v>
      </c>
      <c r="H59" s="16">
        <f>F59*(1-G59)</f>
        <v/>
      </c>
      <c r="I59" s="16">
        <f>E59*H59</f>
        <v/>
      </c>
      <c r="J59" s="22" t="n">
        <v>1</v>
      </c>
      <c r="K59" s="22" t="n">
        <v>23</v>
      </c>
      <c r="L59" s="15" t="n">
        <v>3.99</v>
      </c>
      <c r="M59" s="16">
        <f>K59*H59+L59</f>
        <v/>
      </c>
    </row>
    <row r="60">
      <c r="A60" s="27" t="n">
        <v>45744</v>
      </c>
      <c r="B60" s="13" t="inlineStr">
        <is>
          <t>SKU-012</t>
        </is>
      </c>
      <c r="C60" s="14" t="inlineStr">
        <is>
          <t>Gentle Foaming Cleanser 150ml</t>
        </is>
      </c>
      <c r="D60" s="13" t="inlineStr">
        <is>
          <t>Amazon</t>
        </is>
      </c>
      <c r="E60" s="22" t="n">
        <v>80</v>
      </c>
      <c r="F60" s="15" t="n">
        <v>19.99</v>
      </c>
      <c r="G60" s="26" t="n">
        <v>0.1</v>
      </c>
      <c r="H60" s="16">
        <f>F60*(1-G60)</f>
        <v/>
      </c>
      <c r="I60" s="16">
        <f>E60*H60</f>
        <v/>
      </c>
      <c r="J60" s="22" t="n">
        <v>5</v>
      </c>
      <c r="K60" s="22" t="n">
        <v>75</v>
      </c>
      <c r="L60" s="15" t="n">
        <v>0</v>
      </c>
      <c r="M60" s="16">
        <f>K60*H60+L60</f>
        <v/>
      </c>
    </row>
    <row r="61">
      <c r="A61" s="25" t="n">
        <v>45744</v>
      </c>
      <c r="B61" s="17" t="inlineStr">
        <is>
          <t>SKU-011</t>
        </is>
      </c>
      <c r="C61" s="18" t="inlineStr">
        <is>
          <t>Peptide Firming Serum 30ml</t>
        </is>
      </c>
      <c r="D61" s="17" t="inlineStr">
        <is>
          <t>Amazon</t>
        </is>
      </c>
      <c r="E61" s="22" t="n">
        <v>12</v>
      </c>
      <c r="F61" s="15" t="n">
        <v>44.99</v>
      </c>
      <c r="G61" s="26" t="n">
        <v>0.1</v>
      </c>
      <c r="H61" s="16">
        <f>F61*(1-G61)</f>
        <v/>
      </c>
      <c r="I61" s="16">
        <f>E61*H61</f>
        <v/>
      </c>
      <c r="J61" s="22" t="n">
        <v>1</v>
      </c>
      <c r="K61" s="22" t="n">
        <v>11</v>
      </c>
      <c r="L61" s="15" t="n">
        <v>0</v>
      </c>
      <c r="M61" s="16">
        <f>K61*H61+L61</f>
        <v/>
      </c>
    </row>
    <row r="62">
      <c r="A62" s="27" t="n">
        <v>45745</v>
      </c>
      <c r="B62" s="13" t="inlineStr">
        <is>
          <t>SKU-009</t>
        </is>
      </c>
      <c r="C62" s="14" t="inlineStr">
        <is>
          <t>Ceramide Barrier Repair Cream 50ml</t>
        </is>
      </c>
      <c r="D62" s="13" t="inlineStr">
        <is>
          <t>DTC</t>
        </is>
      </c>
      <c r="E62" s="22" t="n">
        <v>103</v>
      </c>
      <c r="F62" s="15" t="n">
        <v>29.99</v>
      </c>
      <c r="G62" s="26" t="n">
        <v>0.2</v>
      </c>
      <c r="H62" s="16">
        <f>F62*(1-G62)</f>
        <v/>
      </c>
      <c r="I62" s="16">
        <f>E62*H62</f>
        <v/>
      </c>
      <c r="J62" s="22" t="n">
        <v>3</v>
      </c>
      <c r="K62" s="22" t="n">
        <v>100</v>
      </c>
      <c r="L62" s="15" t="n">
        <v>3.99</v>
      </c>
      <c r="M62" s="16">
        <f>K62*H62+L62</f>
        <v/>
      </c>
    </row>
    <row r="63">
      <c r="A63" s="28" t="inlineStr">
        <is>
          <t>TOTALS</t>
        </is>
      </c>
      <c r="E63" s="29">
        <f>SUM(E3:E62)</f>
        <v/>
      </c>
      <c r="I63" s="29">
        <f>SUM(I3:I62)</f>
        <v/>
      </c>
      <c r="J63" s="29">
        <f>SUM(J3:J62)</f>
        <v/>
      </c>
      <c r="K63" s="29">
        <f>SUM(K3:K62)</f>
        <v/>
      </c>
      <c r="L63" s="29">
        <f>SUM(L3:L62)</f>
        <v/>
      </c>
      <c r="M63" s="29">
        <f>SUM(M3:M62)</f>
        <v/>
      </c>
    </row>
  </sheetData>
  <mergeCells count="2">
    <mergeCell ref="A1:M1"/>
    <mergeCell ref="A63:D6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8" customHeight="1">
      <c r="A1" s="9" t="inlineStr">
        <is>
          <t>📋 README — Revenue &amp; Margin Intelligence System</t>
        </is>
      </c>
    </row>
    <row r="2" ht="16" customHeight="1">
      <c r="A2" s="30" t="inlineStr">
        <is>
          <t xml:space="preserve">  HOW TO USE</t>
        </is>
      </c>
    </row>
    <row r="3" ht="16" customHeight="1">
      <c r="A3" s="31" t="inlineStr">
        <is>
          <t xml:space="preserve">    Step 1:  ⚙ Settings → pick Currency and SKU Category from dropdowns</t>
        </is>
      </c>
    </row>
    <row r="4" ht="16" customHeight="1">
      <c r="A4" s="31" t="inlineStr">
        <is>
          <t xml:space="preserve">    Step 2:  📦 SKU Master → replace blue cells with real SKU prices and costs</t>
        </is>
      </c>
    </row>
    <row r="5" ht="16" customHeight="1">
      <c r="A5" s="31" t="inlineStr">
        <is>
          <t xml:space="preserve">    Step 3:  🏪 Channel Costs → adjust fee % to match Amazon/DTC cost structure</t>
        </is>
      </c>
    </row>
    <row r="6" ht="16" customHeight="1">
      <c r="A6" s="31" t="inlineStr">
        <is>
          <t xml:space="preserve">    Step 4:  🛒 Sales Orders → paste real order data (blue cells are editable)</t>
        </is>
      </c>
    </row>
    <row r="7" ht="16" customHeight="1">
      <c r="A7" s="31" t="inlineStr">
        <is>
          <t xml:space="preserve">    Note:  Shipping Income is supported as a separate revenue line for DTC (optional).</t>
        </is>
      </c>
    </row>
    <row r="8" ht="16" customHeight="1"/>
    <row r="9" ht="16" customHeight="1">
      <c r="A9" s="30" t="inlineStr">
        <is>
          <t xml:space="preserve">  COLOUR CODING</t>
        </is>
      </c>
    </row>
    <row r="10" ht="16" customHeight="1">
      <c r="A10" s="31" t="inlineStr">
        <is>
          <t xml:space="preserve">    🔵 Blue:  Input (editable)</t>
        </is>
      </c>
    </row>
    <row r="11" ht="16" customHeight="1">
      <c r="A11" s="31" t="inlineStr">
        <is>
          <t xml:space="preserve">    ⚫ Black:  Formula (do not overwrite)</t>
        </is>
      </c>
    </row>
    <row r="12" ht="16" customHeight="1">
      <c r="A12" s="31" t="inlineStr">
        <is>
          <t xml:space="preserve">    🟢 Green:  Cross-sheet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2026-02-26T13:22:43Z</dcterms:created>
  <dcterms:modified xsi:type="dcterms:W3CDTF">2026-02-26T13:22:43Z</dcterms:modified>
</cp:coreProperties>
</file>