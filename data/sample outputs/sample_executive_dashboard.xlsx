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Settings" sheetId="1" state="visible" r:id="rId1"/>
    <sheet name="01_Summary" sheetId="2" state="visible" r:id="rId2"/>
    <sheet name="02_SKU_Channel_PnL" sheetId="3" state="veryHidden" r:id="rId3"/>
    <sheet name="03_Kill_Optimize_Scale" sheetId="4" state="visible" r:id="rId4"/>
    <sheet name="04_Scenarios" sheetId="5" state="visible" r:id="rId5"/>
    <sheet name="05_Working_Capital" sheetId="6" state="visible" r:id="rId6"/>
    <sheet name="06_Raw_SKU" sheetId="7" state="visible" r:id="rId7"/>
    <sheet name="07_Channel_Costs" sheetId="8" state="visible" r:id="rId8"/>
    <sheet name="08_Sales_Orders" sheetId="9" state="visible" r:id="rId9"/>
    <sheet name="09_README" sheetId="10" state="visible" r:id="rId10"/>
    <sheet name="10_SQL_Scripts" sheetId="11" state="visible" r:id="rId11"/>
    <sheet name="11_Executive_Outpu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/MM/YYYY"/>
  </numFmts>
  <fonts count="3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595959"/>
      <sz val="9"/>
    </font>
    <font>
      <name val="Arial"/>
      <i val="1"/>
      <color rgb="00595959"/>
      <sz val="9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sz val="9"/>
    </font>
    <font>
      <name val="Arial"/>
      <color rgb="00008000"/>
      <sz val="10"/>
    </font>
    <font>
      <name val="Arial"/>
      <sz val="10"/>
    </font>
    <font>
      <name val="Arial"/>
      <i val="1"/>
      <color rgb="00595959"/>
      <sz val="8"/>
    </font>
    <font>
      <name val="Arial"/>
      <b val="1"/>
      <color rgb="00000000"/>
      <sz val="10"/>
    </font>
    <font>
      <name val="Arial"/>
      <sz val="9"/>
    </font>
    <font>
      <name val="Arial"/>
      <i val="1"/>
      <color rgb="00595959"/>
      <sz val="10"/>
    </font>
    <font>
      <name val="Arial"/>
      <b val="1"/>
      <i val="1"/>
      <color rgb="001F3864"/>
      <sz val="9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b val="1"/>
      <color rgb="00008000"/>
      <sz val="10"/>
    </font>
    <font>
      <name val="Arial"/>
      <i val="1"/>
      <color rgb="002E5FA3"/>
      <sz val="11"/>
    </font>
    <font>
      <name val="Arial"/>
      <b val="1"/>
      <color rgb="00FFFFFF"/>
      <sz val="8"/>
    </font>
    <font>
      <name val="Arial"/>
      <color rgb="00000000"/>
      <sz val="9"/>
    </font>
    <font>
      <name val="Courier New"/>
      <i val="1"/>
      <color rgb="00008000"/>
      <sz val="9"/>
    </font>
    <font>
      <name val="Courier New"/>
      <color rgb="00000000"/>
      <sz val="9"/>
    </font>
    <font>
      <name val="Courier New"/>
      <b val="1"/>
      <color rgb="0000008B"/>
      <sz val="9"/>
    </font>
    <font>
      <name val="Arial"/>
      <b val="1"/>
      <color rgb="00FFFFFF"/>
      <sz val="14"/>
    </font>
    <font>
      <name val="Arial"/>
      <b val="1"/>
      <color rgb="001F3864"/>
      <sz val="14"/>
    </font>
    <font>
      <name val="Arial"/>
      <b val="1"/>
      <color rgb="001F3864"/>
      <sz val="16"/>
    </font>
    <font>
      <name val="Arial"/>
      <b val="1"/>
      <sz val="14"/>
    </font>
    <font>
      <name val="Arial"/>
      <b val="1"/>
      <color rgb="00375623"/>
      <sz val="16"/>
    </font>
    <font>
      <name val="Arial"/>
      <b val="1"/>
      <color rgb="002E5FA3"/>
      <sz val="16"/>
    </font>
    <font>
      <name val="Arial"/>
      <b val="1"/>
      <color rgb="00843C0C"/>
      <sz val="16"/>
    </font>
    <font>
      <name val="Arial"/>
      <b val="1"/>
      <color rgb="00595959"/>
      <sz val="12"/>
    </font>
    <font>
      <name val="Arial"/>
      <b val="1"/>
      <color rgb="00375623"/>
      <sz val="10"/>
    </font>
    <font>
      <name val="Arial"/>
      <b val="1"/>
      <color rgb="001F3864"/>
      <sz val="20"/>
    </font>
    <font>
      <name val="Arial"/>
      <b val="1"/>
      <color rgb="007B5E00"/>
      <sz val="10"/>
    </font>
    <font>
      <name val="Arial"/>
      <b val="1"/>
      <color rgb="00843C0C"/>
      <sz val="10"/>
    </font>
    <font>
      <name val="Arial"/>
      <b val="1"/>
      <color rgb="007B0000"/>
      <sz val="10"/>
    </font>
  </fonts>
  <fills count="3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FFF2CC"/>
      </patternFill>
    </fill>
    <fill>
      <patternFill patternType="solid">
        <fgColor rgb="00F2F7FB"/>
      </patternFill>
    </fill>
    <fill>
      <patternFill patternType="solid">
        <fgColor rgb="00EBF3FF"/>
      </patternFill>
    </fill>
    <fill>
      <patternFill patternType="solid">
        <fgColor rgb="00FFFFFF"/>
      </patternFill>
    </fill>
    <fill>
      <patternFill patternType="solid">
        <fgColor rgb="00D6E4F7"/>
      </patternFill>
    </fill>
    <fill>
      <patternFill patternType="solid">
        <fgColor rgb="00843C0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DEEFF"/>
      </patternFill>
    </fill>
    <fill>
      <patternFill patternType="solid">
        <fgColor rgb="00E8F4FD"/>
      </patternFill>
    </fill>
    <fill>
      <patternFill patternType="solid">
        <fgColor rgb="00BDD7EE"/>
      </patternFill>
    </fill>
    <fill>
      <patternFill patternType="solid">
        <fgColor rgb="001F5C1A"/>
      </patternFill>
    </fill>
    <fill>
      <patternFill patternType="solid">
        <fgColor rgb="00375623"/>
      </patternFill>
    </fill>
    <fill>
      <patternFill patternType="solid">
        <fgColor rgb="00E8F5E9"/>
      </patternFill>
    </fill>
    <fill>
      <patternFill patternType="solid">
        <fgColor rgb="00FCE4D6"/>
      </patternFill>
    </fill>
    <fill>
      <patternFill patternType="solid">
        <fgColor rgb="00FFE0CC"/>
      </patternFill>
    </fill>
    <fill>
      <patternFill patternType="solid">
        <fgColor rgb="00F5F5F5"/>
      </patternFill>
    </fill>
    <fill>
      <patternFill patternType="solid">
        <fgColor rgb="007B2C2C"/>
      </patternFill>
    </fill>
    <fill>
      <patternFill patternType="solid">
        <fgColor rgb="00FFEB9C"/>
      </patternFill>
    </fill>
    <fill>
      <patternFill patternType="solid">
        <fgColor rgb="00FAFCFF"/>
      </patternFill>
    </fill>
    <fill>
      <patternFill patternType="solid">
        <fgColor rgb="00595959"/>
      </patternFill>
    </fill>
    <fill>
      <patternFill patternType="solid">
        <fgColor rgb="00C6EFCE"/>
      </patternFill>
    </fill>
    <fill>
      <patternFill patternType="solid">
        <fgColor rgb="00FF9999"/>
      </patternFill>
    </fill>
    <fill>
      <patternFill patternType="solid">
        <fgColor rgb="00FFEFD5"/>
      </patternFill>
    </fill>
    <fill>
      <patternFill patternType="solid">
        <fgColor rgb="00FFF9E6"/>
      </patternFill>
    </fill>
    <fill>
      <patternFill patternType="solid">
        <fgColor rgb="00F0FFF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center" vertical="center"/>
    </xf>
    <xf numFmtId="4" fontId="7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12" fillId="0" borderId="0" pivotButton="0" quotePrefix="0" xfId="0"/>
    <xf numFmtId="0" fontId="3" fillId="8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165" fontId="11" fillId="7" borderId="1" applyAlignment="1" pivotButton="0" quotePrefix="0" xfId="0">
      <alignment horizontal="center" vertical="center"/>
    </xf>
    <xf numFmtId="9" fontId="4" fillId="4" borderId="1" applyAlignment="1" pivotButton="0" quotePrefix="0" xfId="0">
      <alignment horizontal="center" vertical="center"/>
    </xf>
    <xf numFmtId="165" fontId="11" fillId="5" borderId="1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4" fontId="13" fillId="8" borderId="1" applyAlignment="1" pivotButton="0" quotePrefix="0" xfId="0">
      <alignment horizontal="center" vertical="center"/>
    </xf>
    <xf numFmtId="0" fontId="2" fillId="3" borderId="0" pivotButton="0" quotePrefix="0" xfId="0"/>
    <xf numFmtId="0" fontId="14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2" fillId="9" borderId="0" applyAlignment="1" pivotButton="0" quotePrefix="0" xfId="0">
      <alignment horizontal="left"/>
    </xf>
    <xf numFmtId="0" fontId="9" fillId="0" borderId="1" pivotButton="0" quotePrefix="0" xfId="0"/>
    <xf numFmtId="0" fontId="14" fillId="0" borderId="1" pivotButton="0" quotePrefix="0" xfId="0"/>
    <xf numFmtId="0" fontId="0" fillId="0" borderId="1" pivotButton="0" quotePrefix="0" xfId="0"/>
    <xf numFmtId="0" fontId="18" fillId="3" borderId="1" applyAlignment="1" pivotButton="0" quotePrefix="0" xfId="0">
      <alignment horizontal="center" vertical="center" wrapText="1"/>
    </xf>
    <xf numFmtId="4" fontId="13" fillId="12" borderId="1" applyAlignment="1" pivotButton="0" quotePrefix="0" xfId="0">
      <alignment horizontal="center"/>
    </xf>
    <xf numFmtId="164" fontId="13" fillId="12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7" fillId="3" borderId="1" applyAlignment="1" pivotButton="0" quotePrefix="0" xfId="0">
      <alignment horizontal="center" vertical="center" wrapText="1"/>
    </xf>
    <xf numFmtId="0" fontId="17" fillId="15" borderId="1" applyAlignment="1" pivotButton="0" quotePrefix="0" xfId="0">
      <alignment horizontal="center" vertical="center" wrapText="1"/>
    </xf>
    <xf numFmtId="0" fontId="17" fillId="16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/>
    </xf>
    <xf numFmtId="4" fontId="4" fillId="4" borderId="1" applyAlignment="1" pivotButton="0" quotePrefix="0" xfId="0">
      <alignment horizontal="center"/>
    </xf>
    <xf numFmtId="164" fontId="7" fillId="6" borderId="1" applyAlignment="1" pivotButton="0" quotePrefix="0" xfId="0">
      <alignment horizontal="center"/>
    </xf>
    <xf numFmtId="4" fontId="7" fillId="17" borderId="1" applyAlignment="1" pivotButton="0" quotePrefix="0" xfId="0">
      <alignment horizontal="center"/>
    </xf>
    <xf numFmtId="4" fontId="13" fillId="17" borderId="1" applyAlignment="1" pivotButton="0" quotePrefix="0" xfId="0">
      <alignment horizontal="center"/>
    </xf>
    <xf numFmtId="3" fontId="7" fillId="17" borderId="1" applyAlignment="1" pivotButton="0" quotePrefix="0" xfId="0">
      <alignment horizontal="center"/>
    </xf>
    <xf numFmtId="3" fontId="13" fillId="17" borderId="1" applyAlignment="1" pivotButton="0" quotePrefix="0" xfId="0">
      <alignment horizontal="center"/>
    </xf>
    <xf numFmtId="4" fontId="7" fillId="18" borderId="1" applyAlignment="1" pivotButton="0" quotePrefix="0" xfId="0">
      <alignment horizontal="center"/>
    </xf>
    <xf numFmtId="4" fontId="13" fillId="19" borderId="1" applyAlignment="1" pivotButton="0" quotePrefix="0" xfId="0">
      <alignment horizontal="center"/>
    </xf>
    <xf numFmtId="4" fontId="13" fillId="14" borderId="1" applyAlignment="1" pivotButton="0" quotePrefix="0" xfId="0">
      <alignment horizontal="center"/>
    </xf>
    <xf numFmtId="0" fontId="3" fillId="20" borderId="1" applyAlignment="1" pivotButton="0" quotePrefix="0" xfId="0">
      <alignment horizontal="center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 wrapText="1"/>
    </xf>
    <xf numFmtId="3" fontId="13" fillId="14" borderId="1" applyAlignment="1" pivotButton="0" quotePrefix="0" xfId="0">
      <alignment horizontal="center"/>
    </xf>
    <xf numFmtId="164" fontId="13" fillId="14" borderId="1" applyAlignment="1" pivotButton="0" quotePrefix="0" xfId="0">
      <alignment horizontal="center"/>
    </xf>
    <xf numFmtId="0" fontId="18" fillId="1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/>
    </xf>
    <xf numFmtId="0" fontId="10" fillId="7" borderId="1" applyAlignment="1" pivotButton="0" quotePrefix="0" xfId="0">
      <alignment horizontal="left"/>
    </xf>
    <xf numFmtId="3" fontId="10" fillId="7" borderId="1" applyAlignment="1" pivotButton="0" quotePrefix="0" xfId="0">
      <alignment horizontal="center"/>
    </xf>
    <xf numFmtId="4" fontId="10" fillId="7" borderId="1" applyAlignment="1" pivotButton="0" quotePrefix="0" xfId="0">
      <alignment horizontal="center"/>
    </xf>
    <xf numFmtId="164" fontId="19" fillId="7" borderId="1" applyAlignment="1" pivotButton="0" quotePrefix="0" xfId="0">
      <alignment horizontal="center"/>
    </xf>
    <xf numFmtId="4" fontId="19" fillId="7" borderId="1" applyAlignment="1" pivotButton="0" quotePrefix="0" xfId="0">
      <alignment horizontal="center"/>
    </xf>
    <xf numFmtId="0" fontId="19" fillId="7" borderId="1" applyAlignment="1" pivotButton="0" quotePrefix="0" xfId="0">
      <alignment horizontal="center"/>
    </xf>
    <xf numFmtId="0" fontId="10" fillId="5" borderId="1" applyAlignment="1" pivotButton="0" quotePrefix="0" xfId="0">
      <alignment horizontal="center"/>
    </xf>
    <xf numFmtId="0" fontId="10" fillId="5" borderId="1" applyAlignment="1" pivotButton="0" quotePrefix="0" xfId="0">
      <alignment horizontal="left"/>
    </xf>
    <xf numFmtId="3" fontId="10" fillId="5" borderId="1" applyAlignment="1" pivotButton="0" quotePrefix="0" xfId="0">
      <alignment horizontal="center"/>
    </xf>
    <xf numFmtId="4" fontId="10" fillId="5" borderId="1" applyAlignment="1" pivotButton="0" quotePrefix="0" xfId="0">
      <alignment horizontal="center"/>
    </xf>
    <xf numFmtId="164" fontId="19" fillId="5" borderId="1" applyAlignment="1" pivotButton="0" quotePrefix="0" xfId="0">
      <alignment horizontal="center"/>
    </xf>
    <xf numFmtId="4" fontId="19" fillId="5" borderId="1" applyAlignment="1" pivotButton="0" quotePrefix="0" xfId="0">
      <alignment horizontal="center"/>
    </xf>
    <xf numFmtId="0" fontId="19" fillId="5" borderId="1" applyAlignment="1" pivotButton="0" quotePrefix="0" xfId="0">
      <alignment horizontal="center"/>
    </xf>
    <xf numFmtId="0" fontId="2" fillId="16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4" fontId="7" fillId="6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1" fontId="4" fillId="4" borderId="1" applyAlignment="1" pivotButton="0" quotePrefix="0" xfId="0">
      <alignment horizontal="center"/>
    </xf>
    <xf numFmtId="9" fontId="15" fillId="10" borderId="1" applyAlignment="1" pivotButton="0" quotePrefix="0" xfId="0">
      <alignment horizontal="center"/>
    </xf>
    <xf numFmtId="0" fontId="6" fillId="7" borderId="1" applyAlignment="1" pivotButton="0" quotePrefix="0" xfId="0">
      <alignment horizontal="left" wrapText="1"/>
    </xf>
    <xf numFmtId="0" fontId="16" fillId="4" borderId="0" applyAlignment="1" pivotButton="0" quotePrefix="0" xfId="0">
      <alignment horizontal="left" wrapText="1"/>
    </xf>
    <xf numFmtId="0" fontId="16" fillId="12" borderId="0" applyAlignment="1" pivotButton="0" quotePrefix="0" xfId="0">
      <alignment horizontal="left" wrapText="1"/>
    </xf>
    <xf numFmtId="0" fontId="16" fillId="13" borderId="0" applyAlignment="1" pivotButton="0" quotePrefix="0" xfId="0">
      <alignment horizontal="left" wrapText="1"/>
    </xf>
    <xf numFmtId="165" fontId="11" fillId="7" borderId="1" applyAlignment="1" pivotButton="0" quotePrefix="0" xfId="0">
      <alignment horizontal="center"/>
    </xf>
    <xf numFmtId="0" fontId="11" fillId="7" borderId="1" applyAlignment="1" pivotButton="0" quotePrefix="0" xfId="0">
      <alignment horizontal="center"/>
    </xf>
    <xf numFmtId="0" fontId="11" fillId="7" borderId="1" applyAlignment="1" pivotButton="0" quotePrefix="0" xfId="0">
      <alignment horizontal="left"/>
    </xf>
    <xf numFmtId="3" fontId="4" fillId="4" borderId="1" applyAlignment="1" pivotButton="0" quotePrefix="0" xfId="0">
      <alignment horizontal="center"/>
    </xf>
    <xf numFmtId="9" fontId="4" fillId="4" borderId="1" applyAlignment="1" pivotButton="0" quotePrefix="0" xfId="0">
      <alignment horizontal="center"/>
    </xf>
    <xf numFmtId="165" fontId="11" fillId="5" borderId="1" applyAlignment="1" pivotButton="0" quotePrefix="0" xfId="0">
      <alignment horizontal="center"/>
    </xf>
    <xf numFmtId="0" fontId="11" fillId="5" borderId="1" applyAlignment="1" pivotButton="0" quotePrefix="0" xfId="0">
      <alignment horizontal="center"/>
    </xf>
    <xf numFmtId="0" fontId="11" fillId="5" borderId="1" applyAlignment="1" pivotButton="0" quotePrefix="0" xfId="0">
      <alignment horizontal="left"/>
    </xf>
    <xf numFmtId="0" fontId="2" fillId="3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top"/>
    </xf>
    <xf numFmtId="0" fontId="14" fillId="0" borderId="1" applyAlignment="1" pivotButton="0" quotePrefix="0" xfId="0">
      <alignment horizontal="left" vertical="top" wrapText="1"/>
    </xf>
    <xf numFmtId="0" fontId="2" fillId="9" borderId="0" applyAlignment="1" pivotButton="0" quotePrefix="0" xfId="0">
      <alignment horizontal="left" vertical="center"/>
    </xf>
    <xf numFmtId="0" fontId="2" fillId="16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1" fillId="2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  <xf numFmtId="0" fontId="21" fillId="16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1" fillId="21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/>
    </xf>
    <xf numFmtId="0" fontId="3" fillId="22" borderId="1" applyAlignment="1" pivotButton="0" quotePrefix="0" xfId="0">
      <alignment horizontal="center"/>
    </xf>
    <xf numFmtId="4" fontId="13" fillId="18" borderId="1" applyAlignment="1" pivotButton="0" quotePrefix="0" xfId="0">
      <alignment horizontal="center"/>
    </xf>
    <xf numFmtId="1" fontId="7" fillId="18" borderId="1" applyAlignment="1" pivotButton="0" quotePrefix="0" xfId="0">
      <alignment horizontal="center"/>
    </xf>
    <xf numFmtId="0" fontId="6" fillId="0" borderId="0" applyAlignment="1" pivotButton="0" quotePrefix="0" xfId="0">
      <alignment horizontal="left" wrapText="1"/>
    </xf>
    <xf numFmtId="0" fontId="18" fillId="2" borderId="0" applyAlignment="1" pivotButton="0" quotePrefix="0" xfId="0">
      <alignment horizontal="left" vertical="center"/>
    </xf>
    <xf numFmtId="0" fontId="9" fillId="6" borderId="1" pivotButton="0" quotePrefix="0" xfId="0"/>
    <xf numFmtId="0" fontId="22" fillId="0" borderId="1" applyAlignment="1" pivotButton="0" quotePrefix="0" xfId="0">
      <alignment wrapText="1"/>
    </xf>
    <xf numFmtId="0" fontId="6" fillId="0" borderId="1" applyAlignment="1" pivotButton="0" quotePrefix="0" xfId="0">
      <alignment wrapText="1"/>
    </xf>
    <xf numFmtId="0" fontId="17" fillId="3" borderId="0" applyAlignment="1" pivotButton="0" quotePrefix="0" xfId="0">
      <alignment horizontal="left"/>
    </xf>
    <xf numFmtId="0" fontId="23" fillId="20" borderId="0" applyAlignment="1" pivotButton="0" quotePrefix="0" xfId="0">
      <alignment horizontal="left"/>
    </xf>
    <xf numFmtId="0" fontId="24" fillId="23" borderId="0" applyAlignment="1" pivotButton="0" quotePrefix="0" xfId="0">
      <alignment horizontal="left"/>
    </xf>
    <xf numFmtId="0" fontId="25" fillId="23" borderId="0" applyAlignment="1" pivotButton="0" quotePrefix="0" xfId="0">
      <alignment horizontal="left"/>
    </xf>
    <xf numFmtId="0" fontId="26" fillId="2" borderId="0" applyAlignment="1" pivotButton="0" quotePrefix="0" xfId="0">
      <alignment horizontal="center" vertical="center"/>
    </xf>
    <xf numFmtId="0" fontId="29" fillId="9" borderId="0" applyAlignment="1" pivotButton="0" quotePrefix="0" xfId="0">
      <alignment horizontal="left"/>
    </xf>
    <xf numFmtId="0" fontId="17" fillId="24" borderId="1" applyAlignment="1" pivotButton="0" quotePrefix="0" xfId="0">
      <alignment horizontal="center" vertical="center" wrapText="1"/>
    </xf>
    <xf numFmtId="4" fontId="28" fillId="7" borderId="1" applyAlignment="1" pivotButton="0" quotePrefix="0" xfId="0">
      <alignment horizontal="center" vertical="center"/>
    </xf>
    <xf numFmtId="4" fontId="30" fillId="7" borderId="1" applyAlignment="1" pivotButton="0" quotePrefix="0" xfId="0">
      <alignment horizontal="center" vertical="center"/>
    </xf>
    <xf numFmtId="164" fontId="31" fillId="7" borderId="1" applyAlignment="1" pivotButton="0" quotePrefix="0" xfId="0">
      <alignment horizontal="center" vertical="center"/>
    </xf>
    <xf numFmtId="164" fontId="32" fillId="7" borderId="1" applyAlignment="1" pivotButton="0" quotePrefix="0" xfId="0">
      <alignment horizontal="center" vertical="center"/>
    </xf>
    <xf numFmtId="164" fontId="30" fillId="7" borderId="1" applyAlignment="1" pivotButton="0" quotePrefix="0" xfId="0">
      <alignment horizontal="center" vertical="center"/>
    </xf>
    <xf numFmtId="0" fontId="33" fillId="7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/>
    </xf>
    <xf numFmtId="0" fontId="34" fillId="25" borderId="0" applyAlignment="1" pivotButton="0" quotePrefix="0" xfId="0">
      <alignment horizontal="center" vertical="center"/>
    </xf>
    <xf numFmtId="0" fontId="36" fillId="22" borderId="0" applyAlignment="1" pivotButton="0" quotePrefix="0" xfId="0">
      <alignment horizontal="center" vertical="center"/>
    </xf>
    <xf numFmtId="0" fontId="37" fillId="18" borderId="0" applyAlignment="1" pivotButton="0" quotePrefix="0" xfId="0">
      <alignment horizontal="center" vertical="center"/>
    </xf>
    <xf numFmtId="0" fontId="38" fillId="26" borderId="0" applyAlignment="1" pivotButton="0" quotePrefix="0" xfId="0">
      <alignment horizontal="center" vertical="center"/>
    </xf>
    <xf numFmtId="0" fontId="35" fillId="7" borderId="0" applyAlignment="1" pivotButton="0" quotePrefix="0" xfId="0">
      <alignment horizontal="center" vertical="center"/>
    </xf>
    <xf numFmtId="0" fontId="12" fillId="2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/>
    </xf>
    <xf numFmtId="3" fontId="7" fillId="7" borderId="1" applyAlignment="1" pivotButton="0" quotePrefix="0" xfId="0">
      <alignment horizontal="center" vertical="center"/>
    </xf>
    <xf numFmtId="4" fontId="7" fillId="7" borderId="1" applyAlignment="1" pivotButton="0" quotePrefix="0" xfId="0">
      <alignment horizontal="center" vertical="center"/>
    </xf>
    <xf numFmtId="4" fontId="13" fillId="7" borderId="1" applyAlignment="1" pivotButton="0" quotePrefix="0" xfId="0">
      <alignment horizontal="center" vertical="center"/>
    </xf>
    <xf numFmtId="164" fontId="13" fillId="25" borderId="1" applyAlignment="1" pivotButton="0" quotePrefix="0" xfId="0">
      <alignment horizontal="center" vertical="center"/>
    </xf>
    <xf numFmtId="0" fontId="34" fillId="25" borderId="1" applyAlignment="1" pivotButton="0" quotePrefix="0" xfId="0">
      <alignment horizontal="center"/>
    </xf>
    <xf numFmtId="164" fontId="13" fillId="22" borderId="1" applyAlignment="1" pivotButton="0" quotePrefix="0" xfId="0">
      <alignment horizontal="center" vertical="center"/>
    </xf>
    <xf numFmtId="0" fontId="36" fillId="22" borderId="1" applyAlignment="1" pivotButton="0" quotePrefix="0" xfId="0">
      <alignment horizontal="center"/>
    </xf>
    <xf numFmtId="164" fontId="13" fillId="18" borderId="1" applyAlignment="1" pivotButton="0" quotePrefix="0" xfId="0">
      <alignment horizontal="center" vertical="center"/>
    </xf>
    <xf numFmtId="0" fontId="37" fillId="18" borderId="1" applyAlignment="1" pivotButton="0" quotePrefix="0" xfId="0">
      <alignment horizontal="center"/>
    </xf>
    <xf numFmtId="3" fontId="13" fillId="14" borderId="1" applyAlignment="1" pivotButton="0" quotePrefix="0" xfId="0">
      <alignment horizontal="center" vertical="center"/>
    </xf>
    <xf numFmtId="4" fontId="13" fillId="14" borderId="1" applyAlignment="1" pivotButton="0" quotePrefix="0" xfId="0">
      <alignment horizontal="center" vertical="center"/>
    </xf>
    <xf numFmtId="0" fontId="2" fillId="16" borderId="0" applyAlignment="1" pivotButton="0" quotePrefix="0" xfId="0">
      <alignment horizontal="left"/>
    </xf>
    <xf numFmtId="0" fontId="13" fillId="27" borderId="1" applyAlignment="1" pivotButton="0" quotePrefix="0" xfId="0">
      <alignment horizontal="center" vertical="center" wrapText="1"/>
    </xf>
    <xf numFmtId="0" fontId="7" fillId="27" borderId="1" applyAlignment="1" pivotButton="0" quotePrefix="0" xfId="0">
      <alignment horizontal="center" vertical="center" wrapText="1"/>
    </xf>
    <xf numFmtId="0" fontId="7" fillId="27" borderId="1" applyAlignment="1" pivotButton="0" quotePrefix="0" xfId="0">
      <alignment horizontal="left" vertical="center" wrapText="1"/>
    </xf>
    <xf numFmtId="0" fontId="13" fillId="28" borderId="1" applyAlignment="1" pivotButton="0" quotePrefix="0" xfId="0">
      <alignment horizontal="center" vertical="center" wrapText="1"/>
    </xf>
    <xf numFmtId="0" fontId="7" fillId="28" borderId="1" applyAlignment="1" pivotButton="0" quotePrefix="0" xfId="0">
      <alignment horizontal="center" vertical="center" wrapText="1"/>
    </xf>
    <xf numFmtId="0" fontId="7" fillId="28" borderId="1" applyAlignment="1" pivotButton="0" quotePrefix="0" xfId="0">
      <alignment horizontal="left" vertical="center" wrapText="1"/>
    </xf>
    <xf numFmtId="0" fontId="13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13" fillId="29" borderId="1" applyAlignment="1" pivotButton="0" quotePrefix="0" xfId="0">
      <alignment horizontal="center" vertical="center" wrapText="1"/>
    </xf>
    <xf numFmtId="0" fontId="7" fillId="29" borderId="1" applyAlignment="1" pivotButton="0" quotePrefix="0" xfId="0">
      <alignment horizontal="center" vertical="center" wrapText="1"/>
    </xf>
    <xf numFmtId="0" fontId="7" fillId="2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54" customWidth="1" min="3" max="3"/>
  </cols>
  <sheetData>
    <row r="1" ht="32" customHeight="1">
      <c r="A1" s="1" t="inlineStr">
        <is>
          <t>⚙  GLOBAL SETTINGS — Revenue &amp; Margin Intelligence System</t>
        </is>
      </c>
    </row>
    <row r="2" ht="20" customHeight="1">
      <c r="A2" s="32" t="inlineStr">
        <is>
          <t>Setting</t>
        </is>
      </c>
      <c r="B2" s="32" t="inlineStr">
        <is>
          <t>Selected Value</t>
        </is>
      </c>
      <c r="C2" s="32" t="inlineStr">
        <is>
          <t>Available Options / Notes</t>
        </is>
      </c>
    </row>
    <row r="3">
      <c r="A3" s="3" t="inlineStr">
        <is>
          <t>Currency</t>
        </is>
      </c>
      <c r="B3" s="33" t="inlineStr">
        <is>
          <t>EUR</t>
        </is>
      </c>
      <c r="C3" s="5" t="inlineStr">
        <is>
          <t>EUR | USD | GBP | GEL</t>
        </is>
      </c>
    </row>
    <row r="4">
      <c r="A4" s="6" t="inlineStr">
        <is>
          <t>Currency Symbol (auto)</t>
        </is>
      </c>
      <c r="B4" s="34">
        <f>CHOOSE(MATCH(B3,{"EUR","USD","GBP","GEL"},0),"€","$","£","₾")</f>
        <v/>
      </c>
      <c r="C4" s="5" t="inlineStr">
        <is>
          <t>Auto-calculated</t>
        </is>
      </c>
    </row>
    <row r="6">
      <c r="A6" s="3" t="inlineStr">
        <is>
          <t>SKU Category</t>
        </is>
      </c>
      <c r="B6" s="33" t="inlineStr">
        <is>
          <t>Beauty / Skincare</t>
        </is>
      </c>
      <c r="C6" s="5" t="inlineStr">
        <is>
          <t>Beauty / Skincare | Health &amp; Supplements | Home &amp; Kitchen | Apparel | Generic</t>
        </is>
      </c>
    </row>
    <row r="8">
      <c r="A8" s="35" t="inlineStr">
        <is>
          <t>━━  VAT POLICY</t>
        </is>
      </c>
    </row>
    <row r="9">
      <c r="A9" s="36" t="inlineStr">
        <is>
          <t>VAT Treatment</t>
        </is>
      </c>
      <c r="B9" s="37" t="inlineStr">
        <is>
          <t>EXCLUDED from all margin &amp; CM calculations throughout the model.</t>
        </is>
      </c>
      <c r="C9" s="107" t="n"/>
    </row>
    <row r="10">
      <c r="A10" s="36" t="inlineStr">
        <is>
          <t>Standard</t>
        </is>
      </c>
      <c r="B10" s="37" t="inlineStr">
        <is>
          <t>All prices, costs, and CM figures are EX-VAT.</t>
        </is>
      </c>
      <c r="C10" s="107" t="n"/>
    </row>
    <row r="11">
      <c r="A11" s="36" t="inlineStr">
        <is>
          <t>VAT Rate</t>
        </is>
      </c>
      <c r="B11" s="37" t="inlineStr">
        <is>
          <t>Stored in 07_Channel_Costs as reference only (supports future cash-flow extensions).</t>
        </is>
      </c>
      <c r="C11" s="107" t="n"/>
    </row>
    <row r="12">
      <c r="A12" s="36" t="inlineStr">
        <is>
          <t>Pricing note</t>
        </is>
      </c>
      <c r="B12" s="37" t="inlineStr">
        <is>
          <t>If list prices are VAT-inclusive, divide by (1 + VAT) before entering Base Price.</t>
        </is>
      </c>
      <c r="C12" s="107" t="n"/>
    </row>
    <row r="14">
      <c r="A14" s="8" t="inlineStr">
        <is>
          <t>💡 Change yellow dropdowns → updates the workbook. All prices are EX-VAT. Data source: sales_orders.csv</t>
        </is>
      </c>
    </row>
  </sheetData>
  <mergeCells count="7">
    <mergeCell ref="A1:C1"/>
    <mergeCell ref="B11:C11"/>
    <mergeCell ref="A8:C8"/>
    <mergeCell ref="A14:C14"/>
    <mergeCell ref="B10:C10"/>
    <mergeCell ref="B9:C9"/>
    <mergeCell ref="B12:C12"/>
  </mergeCells>
  <dataValidations count="2">
    <dataValidation sqref="B3" showDropDown="0" showInputMessage="0" showErrorMessage="0" allowBlank="0" type="list">
      <formula1>"EUR,USD,GBP,GEL"</formula1>
    </dataValidation>
    <dataValidation sqref="B6" showDropDown="0" showInputMessage="0" showErrorMessage="0" allowBlank="0" type="list">
      <formula1>"Beauty / Skincare,Health &amp; Supplements,Home &amp; Kitchen,Apparel,Generic"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2" customHeight="1">
      <c r="A1" s="1" t="inlineStr">
        <is>
          <t>01 | EXECUTIVE SUMMARY — Revenue &amp; Margin Intelligence (Dual-Lens)</t>
        </is>
      </c>
    </row>
    <row r="2" ht="22" customHeight="1">
      <c r="A2" s="39" t="inlineStr">
        <is>
          <t xml:space="preserve">  KEY METRICS (auto-calculated from sales_orders.csv)</t>
        </is>
      </c>
      <c r="B2" s="108" t="n"/>
      <c r="C2" s="108" t="n"/>
      <c r="D2" s="108" t="n"/>
      <c r="E2" s="107" t="n"/>
    </row>
    <row r="3" ht="20" customHeight="1">
      <c r="A3" s="3" t="inlineStr">
        <is>
          <t>Total Gross Revenue</t>
        </is>
      </c>
      <c r="B3" s="40">
        <f>SUM('08_Sales_Orders'!I3:I62)</f>
        <v/>
      </c>
    </row>
    <row r="4" ht="20" customHeight="1">
      <c r="A4" s="3" t="inlineStr">
        <is>
          <t>Total Net Revenue</t>
        </is>
      </c>
      <c r="B4" s="40">
        <f>SUM('08_Sales_Orders'!M3:M62)</f>
        <v/>
      </c>
    </row>
    <row r="5" ht="20" customHeight="1">
      <c r="A5" s="3" t="inlineStr">
        <is>
          <t>Total Shipping Income</t>
        </is>
      </c>
      <c r="B5" s="40">
        <f>SUM('08_Sales_Orders'!L3:L62)</f>
        <v/>
      </c>
    </row>
    <row r="6" ht="20" customHeight="1">
      <c r="A6" s="3" t="inlineStr">
        <is>
          <t>Total CM — Amazon</t>
        </is>
      </c>
      <c r="B6" s="40">
        <f>SUMIF('02_SKU_Channel_PnL'!D5:D28,"Amazon",'02_SKU_Channel_PnL'!Z5:Z28)</f>
        <v/>
      </c>
    </row>
    <row r="7" ht="20" customHeight="1">
      <c r="A7" s="3" t="inlineStr">
        <is>
          <t>Total CM — DTC</t>
        </is>
      </c>
      <c r="B7" s="40">
        <f>SUMIF('02_SKU_Channel_PnL'!D5:D28,"DTC",'02_SKU_Channel_PnL'!Z5:Z28)</f>
        <v/>
      </c>
    </row>
    <row r="8" ht="20" customHeight="1">
      <c r="A8" s="3" t="inlineStr">
        <is>
          <t>Avg CM % — Amazon</t>
        </is>
      </c>
      <c r="B8" s="41">
        <f>AVERAGEIF('02_SKU_Channel_PnL'!D5:D28,"Amazon",'02_SKU_Channel_PnL'!Y5:Y28)</f>
        <v/>
      </c>
    </row>
    <row r="9" ht="20" customHeight="1">
      <c r="A9" s="3" t="inlineStr">
        <is>
          <t>Avg CM % — DTC</t>
        </is>
      </c>
      <c r="B9" s="41">
        <f>AVERAGEIF('02_SKU_Channel_PnL'!D5:D28,"DTC",'02_SKU_Channel_PnL'!Y5:Y28)</f>
        <v/>
      </c>
    </row>
    <row r="11">
      <c r="A11" s="39" t="inlineStr">
        <is>
          <t xml:space="preserve">  SHEET DIRECTORY</t>
        </is>
      </c>
      <c r="B11" s="108" t="n"/>
      <c r="C11" s="108" t="n"/>
      <c r="D11" s="108" t="n"/>
      <c r="E11" s="107" t="n"/>
    </row>
    <row r="12" ht="16" customHeight="1">
      <c r="A12" s="36" t="inlineStr">
        <is>
          <t>00_Settings</t>
        </is>
      </c>
      <c r="B12" s="37" t="inlineStr">
        <is>
          <t>Currency &amp; category selector. VAT policy (EX-VAT standard). Dual-lens policy.</t>
        </is>
      </c>
      <c r="C12" s="108" t="n"/>
      <c r="D12" s="108" t="n"/>
      <c r="E12" s="107" t="n"/>
    </row>
    <row r="13" ht="16" customHeight="1">
      <c r="A13" s="36" t="inlineStr">
        <is>
          <t>01_Summary</t>
        </is>
      </c>
      <c r="B13" s="37" t="inlineStr">
        <is>
          <t>← You are here. KPIs + sheet directory. Source: sales_orders.csv</t>
        </is>
      </c>
      <c r="C13" s="108" t="n"/>
      <c r="D13" s="108" t="n"/>
      <c r="E13" s="107" t="n"/>
    </row>
    <row r="14" ht="16" customHeight="1">
      <c r="A14" s="36" t="inlineStr">
        <is>
          <t>02_SKU_Channel_PnL</t>
        </is>
      </c>
      <c r="B14" s="37" t="inlineStr">
        <is>
          <t>Full CM engine using Net Units (econ_units) from sales_orders.csv.</t>
        </is>
      </c>
      <c r="C14" s="108" t="n"/>
      <c r="D14" s="108" t="n"/>
      <c r="E14" s="107" t="n"/>
    </row>
    <row r="15" ht="16" customHeight="1">
      <c r="A15" s="36" t="inlineStr">
        <is>
          <t>03_Kill_Optimize_Scale</t>
        </is>
      </c>
      <c r="B15" s="37" t="inlineStr">
        <is>
          <t>Decision matrix: SCALE / OPTIMIZE / KILL per SKU × channel.</t>
        </is>
      </c>
      <c r="C15" s="108" t="n"/>
      <c r="D15" s="108" t="n"/>
      <c r="E15" s="107" t="n"/>
    </row>
    <row r="16" ht="16" customHeight="1">
      <c r="A16" s="36" t="inlineStr">
        <is>
          <t>04_Scenarios</t>
        </is>
      </c>
      <c r="B16" s="37" t="inlineStr">
        <is>
          <t>Planned extension: sensitivity and scenario matrix.</t>
        </is>
      </c>
      <c r="C16" s="108" t="n"/>
      <c r="D16" s="108" t="n"/>
      <c r="E16" s="107" t="n"/>
    </row>
    <row r="17" ht="16" customHeight="1">
      <c r="A17" s="36" t="inlineStr">
        <is>
          <t>05_Working_Capital</t>
        </is>
      </c>
      <c r="B17" s="37" t="inlineStr">
        <is>
          <t>Planned extension: cash lock / working capital risk scoring.</t>
        </is>
      </c>
      <c r="C17" s="108" t="n"/>
      <c r="D17" s="108" t="n"/>
      <c r="E17" s="107" t="n"/>
    </row>
    <row r="18" ht="16" customHeight="1">
      <c r="A18" s="36" t="inlineStr">
        <is>
          <t>06_Raw_SKU</t>
        </is>
      </c>
      <c r="B18" s="37" t="inlineStr">
        <is>
          <t>SKU master: base price and product variable costs. Blue = editable.</t>
        </is>
      </c>
      <c r="C18" s="108" t="n"/>
      <c r="D18" s="108" t="n"/>
      <c r="E18" s="107" t="n"/>
    </row>
    <row r="19" ht="16" customHeight="1">
      <c r="A19" s="36" t="inlineStr">
        <is>
          <t>07_Channel_Costs</t>
        </is>
      </c>
      <c r="B19" s="37" t="inlineStr">
        <is>
          <t>Channel economics: fulfil vs shipping split, fees, returns, ads assumptions.</t>
        </is>
      </c>
      <c r="C19" s="108" t="n"/>
      <c r="D19" s="108" t="n"/>
      <c r="E19" s="107" t="n"/>
    </row>
    <row r="20" ht="16" customHeight="1">
      <c r="A20" s="36" t="inlineStr">
        <is>
          <t>08_Sales_Orders</t>
        </is>
      </c>
      <c r="B20" s="37" t="inlineStr">
        <is>
          <t>Transactions from sales_orders.csv with Net Units (econ_units), Return Units, Shipping Income.</t>
        </is>
      </c>
      <c r="C20" s="108" t="n"/>
      <c r="D20" s="108" t="n"/>
      <c r="E20" s="107" t="n"/>
    </row>
    <row r="21" ht="16" customHeight="1">
      <c r="A21" s="36" t="inlineStr">
        <is>
          <t>09_README</t>
        </is>
      </c>
      <c r="B21" s="37" t="inlineStr">
        <is>
          <t>Workbook documentation: policies, conventions, roadmap, dual-lens logic.</t>
        </is>
      </c>
      <c r="C21" s="108" t="n"/>
      <c r="D21" s="108" t="n"/>
      <c r="E21" s="107" t="n"/>
    </row>
    <row r="23">
      <c r="A23" s="19" t="inlineStr">
        <is>
          <t>DUAL-LENS v2.0: Net Units (econ_units) from CSV. Always ≥ 0. Single source of truth: data/raw/sales_orders.csv</t>
        </is>
      </c>
    </row>
  </sheetData>
  <mergeCells count="14">
    <mergeCell ref="B17:E17"/>
    <mergeCell ref="B18:E18"/>
    <mergeCell ref="A2:E2"/>
    <mergeCell ref="B12:E12"/>
    <mergeCell ref="B13:E13"/>
    <mergeCell ref="B21:E21"/>
    <mergeCell ref="B16:E16"/>
    <mergeCell ref="A11:E11"/>
    <mergeCell ref="B15:E15"/>
    <mergeCell ref="A1:E1"/>
    <mergeCell ref="A23:E23"/>
    <mergeCell ref="B19:E19"/>
    <mergeCell ref="B20:E20"/>
    <mergeCell ref="B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3" customWidth="1" min="3" max="3"/>
    <col width="11" customWidth="1" min="4" max="4"/>
    <col width="11" customWidth="1" min="5" max="5"/>
    <col width="13" customWidth="1" min="6" max="6"/>
    <col width="11" customWidth="1" min="7" max="7"/>
    <col width="13" customWidth="1" min="8" max="8"/>
    <col width="13" customWidth="1" min="9" max="9"/>
    <col width="11" customWidth="1" min="10" max="10"/>
    <col width="11" customWidth="1" min="11" max="11"/>
    <col width="13" customWidth="1" min="12" max="12"/>
    <col width="14" customWidth="1" min="13" max="13"/>
    <col width="11" customWidth="1" min="14" max="14"/>
    <col width="12" customWidth="1" min="15" max="15"/>
    <col width="12" customWidth="1" min="16" max="16"/>
    <col width="14" customWidth="1" min="17" max="17"/>
    <col width="12" customWidth="1" min="18" max="18"/>
    <col width="11" customWidth="1" min="19" max="19"/>
    <col width="13" customWidth="1" min="20" max="20"/>
    <col width="13" customWidth="1" min="21" max="21"/>
    <col width="12" customWidth="1" min="22" max="22"/>
    <col width="14" customWidth="1" min="23" max="23"/>
    <col width="15" customWidth="1" min="24" max="24"/>
    <col width="12" customWidth="1" min="25" max="25"/>
    <col width="14" customWidth="1" min="26" max="26"/>
    <col width="13" customWidth="1" min="27" max="27"/>
  </cols>
  <sheetData>
    <row r="1" ht="32" customHeight="1">
      <c r="A1" s="1" t="inlineStr">
        <is>
          <t>02 | SKU × CHANNEL P&amp;L — Contribution Margin Engine (Ex-VAT, Dual-Lens)</t>
        </is>
      </c>
    </row>
    <row r="2" ht="16" customHeight="1">
      <c r="A2" s="10" t="inlineStr">
        <is>
          <t>Currency:</t>
        </is>
      </c>
      <c r="B2" s="42">
        <f>'00_Settings'!B3</f>
        <v/>
      </c>
      <c r="C2" s="10" t="inlineStr">
        <is>
          <t>Symbol:</t>
        </is>
      </c>
      <c r="D2" s="42">
        <f>'00_Settings'!B4</f>
        <v/>
      </c>
    </row>
    <row r="3" ht="18" customHeight="1">
      <c r="A3" s="43" t="inlineStr">
        <is>
          <t>SKU INFO</t>
        </is>
      </c>
      <c r="B3" s="108" t="n"/>
      <c r="C3" s="108" t="n"/>
      <c r="D3" s="107" t="n"/>
      <c r="E3" s="44" t="inlineStr">
        <is>
          <t>VOLUME</t>
        </is>
      </c>
      <c r="F3" s="45" t="inlineStr">
        <is>
          <t>REVENUE (EX-VAT)</t>
        </is>
      </c>
      <c r="G3" s="108" t="n"/>
      <c r="H3" s="108" t="n"/>
      <c r="I3" s="108" t="n"/>
      <c r="J3" s="108" t="n"/>
      <c r="K3" s="108" t="n"/>
      <c r="L3" s="108" t="n"/>
      <c r="M3" s="107" t="n"/>
      <c r="N3" s="46" t="inlineStr">
        <is>
          <t>VARIABLE COST / UNIT</t>
        </is>
      </c>
      <c r="O3" s="108" t="n"/>
      <c r="P3" s="108" t="n"/>
      <c r="Q3" s="108" t="n"/>
      <c r="R3" s="108" t="n"/>
      <c r="S3" s="108" t="n"/>
      <c r="T3" s="108" t="n"/>
      <c r="U3" s="108" t="n"/>
      <c r="V3" s="107" t="n"/>
      <c r="W3" s="47" t="inlineStr">
        <is>
          <t>MARGIN / UNIT</t>
        </is>
      </c>
      <c r="X3" s="108" t="n"/>
      <c r="Y3" s="107" t="n"/>
      <c r="Z3" s="47" t="inlineStr">
        <is>
          <t>TOTAL CM</t>
        </is>
      </c>
      <c r="AA3" s="47" t="inlineStr">
        <is>
          <t>SIGNAL</t>
        </is>
      </c>
    </row>
    <row r="4" ht="38" customHeight="1">
      <c r="A4" s="43" t="inlineStr">
        <is>
          <t>SKU ID</t>
        </is>
      </c>
      <c r="B4" s="43" t="inlineStr">
        <is>
          <t>SKU Name</t>
        </is>
      </c>
      <c r="C4" s="43" t="inlineStr">
        <is>
          <t>Subcat</t>
        </is>
      </c>
      <c r="D4" s="43" t="inlineStr">
        <is>
          <t>Channel</t>
        </is>
      </c>
      <c r="E4" s="44" t="inlineStr">
        <is>
          <t>Units
Sold</t>
        </is>
      </c>
      <c r="F4" s="45" t="inlineStr">
        <is>
          <t>Base Price
(ex-VAT)</t>
        </is>
      </c>
      <c r="G4" s="45" t="inlineStr">
        <is>
          <t>Discount %</t>
        </is>
      </c>
      <c r="H4" s="45" t="inlineStr">
        <is>
          <t>Net Price
(ex-VAT)</t>
        </is>
      </c>
      <c r="I4" s="45" t="inlineStr">
        <is>
          <t>Gross
Revenue</t>
        </is>
      </c>
      <c r="J4" s="45" t="inlineStr">
        <is>
          <t>Return
Units</t>
        </is>
      </c>
      <c r="K4" s="45" t="inlineStr">
        <is>
          <t>Net
Units</t>
        </is>
      </c>
      <c r="L4" s="45" t="inlineStr">
        <is>
          <t>Shipping
Income</t>
        </is>
      </c>
      <c r="M4" s="45" t="inlineStr">
        <is>
          <t>Net
Revenue</t>
        </is>
      </c>
      <c r="N4" s="46" t="inlineStr">
        <is>
          <t>COGS
/unit</t>
        </is>
      </c>
      <c r="O4" s="46" t="inlineStr">
        <is>
          <t>Pkg +
Freight</t>
        </is>
      </c>
      <c r="P4" s="46" t="inlineStr">
        <is>
          <t>Referral
Fee</t>
        </is>
      </c>
      <c r="Q4" s="46" t="inlineStr">
        <is>
          <t>Fulfil Fee
(3PL/FBA)</t>
        </is>
      </c>
      <c r="R4" s="46" t="inlineStr">
        <is>
          <t>Shipping
Fee</t>
        </is>
      </c>
      <c r="S4" s="46" t="inlineStr">
        <is>
          <t>Ads
/unit</t>
        </is>
      </c>
      <c r="T4" s="46" t="inlineStr">
        <is>
          <t>Returns
Rev Loss</t>
        </is>
      </c>
      <c r="U4" s="46" t="inlineStr">
        <is>
          <t>Returns
COGS Loss</t>
        </is>
      </c>
      <c r="V4" s="46" t="inlineStr">
        <is>
          <t>Return
Proc Fee</t>
        </is>
      </c>
      <c r="W4" s="47" t="inlineStr">
        <is>
          <t>Total VC
/ econ unit</t>
        </is>
      </c>
      <c r="X4" s="47" t="inlineStr">
        <is>
          <t>CM / unit
(ex-VAT)</t>
        </is>
      </c>
      <c r="Y4" s="47" t="inlineStr">
        <is>
          <t>CM %
(ex-VAT)</t>
        </is>
      </c>
      <c r="Z4" s="47" t="inlineStr">
        <is>
          <t>Total CM
(€)</t>
        </is>
      </c>
      <c r="AA4" s="47" t="inlineStr">
        <is>
          <t>Signal</t>
        </is>
      </c>
    </row>
    <row r="5" ht="20" customHeight="1">
      <c r="A5" s="48" t="inlineStr">
        <is>
          <t>SKU-001</t>
        </is>
      </c>
      <c r="B5" s="49" t="inlineStr">
        <is>
          <t>Vitamin C Brightening Serum 30ml</t>
        </is>
      </c>
      <c r="C5" s="48" t="inlineStr">
        <is>
          <t>Serum</t>
        </is>
      </c>
      <c r="D5" s="50" t="inlineStr">
        <is>
          <t>Amazon</t>
        </is>
      </c>
      <c r="E5" s="51">
        <f>SUMIFS('08_Sales_Orders'!$E$3:$E$62,'08_Sales_Orders'!$B$3:$B$62,A5,'08_Sales_Orders'!$D$3:$D$62,D5)</f>
        <v/>
      </c>
      <c r="F5" s="52" t="n">
        <v>34.99</v>
      </c>
      <c r="G5" s="53">
        <f>IF(F5=0, 0, 1-(H5/F5))</f>
        <v/>
      </c>
      <c r="H5" s="54">
        <f>IF(E5=0, 0, I5/E5)</f>
        <v/>
      </c>
      <c r="I5" s="55">
        <f>SUMIFS('08_Sales_Orders'!$I$3:$I$62,'08_Sales_Orders'!$B$3:$B$62,A5,'08_Sales_Orders'!$D$3:$D$62,D5)</f>
        <v/>
      </c>
      <c r="J5" s="56">
        <f>SUMIFS('08_Sales_Orders'!$J$3:$J$62,'08_Sales_Orders'!$B$3:$B$62,A5,'08_Sales_Orders'!$D$3:$D$62,D5)</f>
        <v/>
      </c>
      <c r="K5" s="57">
        <f>SUMIFS('08_Sales_Orders'!$K$3:$K$62,'08_Sales_Orders'!$B$3:$B$62,A5,'08_Sales_Orders'!$D$3:$D$62,D5)</f>
        <v/>
      </c>
      <c r="L5" s="54">
        <f>SUMIFS('08_Sales_Orders'!$L$3:$L$62,'08_Sales_Orders'!$B$3:$B$62,A5,'08_Sales_Orders'!$D$3:$D$62,D5)</f>
        <v/>
      </c>
      <c r="M5" s="55">
        <f>SUMIFS('08_Sales_Orders'!$M$3:$M$62,'08_Sales_Orders'!$B$3:$B$62,A5,'08_Sales_Orders'!$D$3:$D$62,D5)</f>
        <v/>
      </c>
      <c r="N5" s="52" t="n">
        <v>6.2</v>
      </c>
      <c r="O5" s="52" t="n">
        <v>2.9</v>
      </c>
      <c r="P5" s="58">
        <f>'07_Channel_Costs'!B3*H5</f>
        <v/>
      </c>
      <c r="Q5" s="58">
        <f>'07_Channel_Costs'!C3</f>
        <v/>
      </c>
      <c r="R5" s="58">
        <f>'07_Channel_Costs'!D3</f>
        <v/>
      </c>
      <c r="S5" s="58">
        <f>'07_Channel_Costs'!E3*H5</f>
        <v/>
      </c>
      <c r="T5" s="58">
        <f>J5*H5</f>
        <v/>
      </c>
      <c r="U5" s="58">
        <f>J5*'07_Channel_Costs'!F3*N5</f>
        <v/>
      </c>
      <c r="V5" s="58">
        <f>J5*'07_Channel_Costs'!G3</f>
        <v/>
      </c>
      <c r="W5" s="59">
        <f>IF(K5=0,0,(E5*(N5+O5) + K5*(P5+Q5+R5+S5) + U5 + V5)/K5)</f>
        <v/>
      </c>
      <c r="X5" s="40">
        <f>IF(K5=0,0,(M5-(E5*(N5+O5) + K5*(P5+Q5+R5+S5) + U5 + V5))/K5)</f>
        <v/>
      </c>
      <c r="Y5" s="41">
        <f>IF(M5=0,"",(M5-(E5*(N5+O5) + K5*(P5+Q5+R5+S5) + U5 + V5))/M5)</f>
        <v/>
      </c>
      <c r="Z5" s="60">
        <f>M5-(E5*(N5+O5) + K5*(P5+Q5+R5+S5) + U5 + V5)</f>
        <v/>
      </c>
      <c r="AA5" s="61">
        <f>IF(Y5&gt;=0.4,"🚀 SCALE",IF(Y5&gt;=0.25,"⚙ OPTIMIZE",IF(Y5&gt;=0,"⚠ REVIEW","🔴 KILL")))</f>
        <v/>
      </c>
    </row>
    <row r="6" ht="20" customHeight="1">
      <c r="A6" s="62" t="inlineStr">
        <is>
          <t>SKU-001</t>
        </is>
      </c>
      <c r="B6" s="63" t="inlineStr">
        <is>
          <t>Vitamin C Brightening Serum 30ml</t>
        </is>
      </c>
      <c r="C6" s="62" t="inlineStr">
        <is>
          <t>Serum</t>
        </is>
      </c>
      <c r="D6" s="64" t="inlineStr">
        <is>
          <t>DTC</t>
        </is>
      </c>
      <c r="E6" s="51">
        <f>SUMIFS('08_Sales_Orders'!$E$3:$E$62,'08_Sales_Orders'!$B$3:$B$62,A6,'08_Sales_Orders'!$D$3:$D$62,D6)</f>
        <v/>
      </c>
      <c r="F6" s="52" t="n">
        <v>34.99</v>
      </c>
      <c r="G6" s="53">
        <f>IF(F6=0, 0, 1-(H6/F6))</f>
        <v/>
      </c>
      <c r="H6" s="54">
        <f>IF(E6=0, 0, I6/E6)</f>
        <v/>
      </c>
      <c r="I6" s="55">
        <f>SUMIFS('08_Sales_Orders'!$I$3:$I$62,'08_Sales_Orders'!$B$3:$B$62,A6,'08_Sales_Orders'!$D$3:$D$62,D6)</f>
        <v/>
      </c>
      <c r="J6" s="56">
        <f>SUMIFS('08_Sales_Orders'!$J$3:$J$62,'08_Sales_Orders'!$B$3:$B$62,A6,'08_Sales_Orders'!$D$3:$D$62,D6)</f>
        <v/>
      </c>
      <c r="K6" s="57">
        <f>SUMIFS('08_Sales_Orders'!$K$3:$K$62,'08_Sales_Orders'!$B$3:$B$62,A6,'08_Sales_Orders'!$D$3:$D$62,D6)</f>
        <v/>
      </c>
      <c r="L6" s="54">
        <f>SUMIFS('08_Sales_Orders'!$L$3:$L$62,'08_Sales_Orders'!$B$3:$B$62,A6,'08_Sales_Orders'!$D$3:$D$62,D6)</f>
        <v/>
      </c>
      <c r="M6" s="55">
        <f>SUMIFS('08_Sales_Orders'!$M$3:$M$62,'08_Sales_Orders'!$B$3:$B$62,A6,'08_Sales_Orders'!$D$3:$D$62,D6)</f>
        <v/>
      </c>
      <c r="N6" s="52" t="n">
        <v>6.2</v>
      </c>
      <c r="O6" s="52" t="n">
        <v>2.9</v>
      </c>
      <c r="P6" s="58">
        <f>'07_Channel_Costs'!B4*H6</f>
        <v/>
      </c>
      <c r="Q6" s="58">
        <f>'07_Channel_Costs'!C4</f>
        <v/>
      </c>
      <c r="R6" s="58">
        <f>'07_Channel_Costs'!D4</f>
        <v/>
      </c>
      <c r="S6" s="58">
        <f>'07_Channel_Costs'!E4*H6</f>
        <v/>
      </c>
      <c r="T6" s="58">
        <f>J6*H6</f>
        <v/>
      </c>
      <c r="U6" s="58">
        <f>J6*'07_Channel_Costs'!F4*N6</f>
        <v/>
      </c>
      <c r="V6" s="58">
        <f>J6*'07_Channel_Costs'!G4</f>
        <v/>
      </c>
      <c r="W6" s="59">
        <f>IF(K6=0,0,(E6*(N6+O6) + K6*(P6+Q6+R6+S6) + U6 + V6)/K6)</f>
        <v/>
      </c>
      <c r="X6" s="40">
        <f>IF(K6=0,0,(M6-(E6*(N6+O6) + K6*(P6+Q6+R6+S6) + U6 + V6))/K6)</f>
        <v/>
      </c>
      <c r="Y6" s="41">
        <f>IF(M6=0,"",(M6-(E6*(N6+O6) + K6*(P6+Q6+R6+S6) + U6 + V6))/M6)</f>
        <v/>
      </c>
      <c r="Z6" s="60">
        <f>M6-(E6*(N6+O6) + K6*(P6+Q6+R6+S6) + U6 + V6)</f>
        <v/>
      </c>
      <c r="AA6" s="61">
        <f>IF(Y6&gt;=0.4,"🚀 SCALE",IF(Y6&gt;=0.25,"⚙ OPTIMIZE",IF(Y6&gt;=0,"⚠ REVIEW","🔴 KILL")))</f>
        <v/>
      </c>
    </row>
    <row r="7" ht="20" customHeight="1">
      <c r="A7" s="48" t="inlineStr">
        <is>
          <t>SKU-002</t>
        </is>
      </c>
      <c r="B7" s="49" t="inlineStr">
        <is>
          <t>Hyaluronic Acid Moisturiser 50ml</t>
        </is>
      </c>
      <c r="C7" s="48" t="inlineStr">
        <is>
          <t>Moisturiser</t>
        </is>
      </c>
      <c r="D7" s="50" t="inlineStr">
        <is>
          <t>Amazon</t>
        </is>
      </c>
      <c r="E7" s="51">
        <f>SUMIFS('08_Sales_Orders'!$E$3:$E$62,'08_Sales_Orders'!$B$3:$B$62,A7,'08_Sales_Orders'!$D$3:$D$62,D7)</f>
        <v/>
      </c>
      <c r="F7" s="52" t="n">
        <v>28.99</v>
      </c>
      <c r="G7" s="53">
        <f>IF(F7=0, 0, 1-(H7/F7))</f>
        <v/>
      </c>
      <c r="H7" s="54">
        <f>IF(E7=0, 0, I7/E7)</f>
        <v/>
      </c>
      <c r="I7" s="55">
        <f>SUMIFS('08_Sales_Orders'!$I$3:$I$62,'08_Sales_Orders'!$B$3:$B$62,A7,'08_Sales_Orders'!$D$3:$D$62,D7)</f>
        <v/>
      </c>
      <c r="J7" s="56">
        <f>SUMIFS('08_Sales_Orders'!$J$3:$J$62,'08_Sales_Orders'!$B$3:$B$62,A7,'08_Sales_Orders'!$D$3:$D$62,D7)</f>
        <v/>
      </c>
      <c r="K7" s="57">
        <f>SUMIFS('08_Sales_Orders'!$K$3:$K$62,'08_Sales_Orders'!$B$3:$B$62,A7,'08_Sales_Orders'!$D$3:$D$62,D7)</f>
        <v/>
      </c>
      <c r="L7" s="54">
        <f>SUMIFS('08_Sales_Orders'!$L$3:$L$62,'08_Sales_Orders'!$B$3:$B$62,A7,'08_Sales_Orders'!$D$3:$D$62,D7)</f>
        <v/>
      </c>
      <c r="M7" s="55">
        <f>SUMIFS('08_Sales_Orders'!$M$3:$M$62,'08_Sales_Orders'!$B$3:$B$62,A7,'08_Sales_Orders'!$D$3:$D$62,D7)</f>
        <v/>
      </c>
      <c r="N7" s="52" t="n">
        <v>5.4</v>
      </c>
      <c r="O7" s="52" t="n">
        <v>2.55</v>
      </c>
      <c r="P7" s="58">
        <f>'07_Channel_Costs'!B3*H7</f>
        <v/>
      </c>
      <c r="Q7" s="58">
        <f>'07_Channel_Costs'!C3</f>
        <v/>
      </c>
      <c r="R7" s="58">
        <f>'07_Channel_Costs'!D3</f>
        <v/>
      </c>
      <c r="S7" s="58">
        <f>'07_Channel_Costs'!E3*H7</f>
        <v/>
      </c>
      <c r="T7" s="58">
        <f>J7*H7</f>
        <v/>
      </c>
      <c r="U7" s="58">
        <f>J7*'07_Channel_Costs'!F3*N7</f>
        <v/>
      </c>
      <c r="V7" s="58">
        <f>J7*'07_Channel_Costs'!G3</f>
        <v/>
      </c>
      <c r="W7" s="59">
        <f>IF(K7=0,0,(E7*(N7+O7) + K7*(P7+Q7+R7+S7) + U7 + V7)/K7)</f>
        <v/>
      </c>
      <c r="X7" s="40">
        <f>IF(K7=0,0,(M7-(E7*(N7+O7) + K7*(P7+Q7+R7+S7) + U7 + V7))/K7)</f>
        <v/>
      </c>
      <c r="Y7" s="41">
        <f>IF(M7=0,"",(M7-(E7*(N7+O7) + K7*(P7+Q7+R7+S7) + U7 + V7))/M7)</f>
        <v/>
      </c>
      <c r="Z7" s="60">
        <f>M7-(E7*(N7+O7) + K7*(P7+Q7+R7+S7) + U7 + V7)</f>
        <v/>
      </c>
      <c r="AA7" s="61">
        <f>IF(Y7&gt;=0.4,"🚀 SCALE",IF(Y7&gt;=0.25,"⚙ OPTIMIZE",IF(Y7&gt;=0,"⚠ REVIEW","🔴 KILL")))</f>
        <v/>
      </c>
    </row>
    <row r="8" ht="20" customHeight="1">
      <c r="A8" s="62" t="inlineStr">
        <is>
          <t>SKU-002</t>
        </is>
      </c>
      <c r="B8" s="63" t="inlineStr">
        <is>
          <t>Hyaluronic Acid Moisturiser 50ml</t>
        </is>
      </c>
      <c r="C8" s="62" t="inlineStr">
        <is>
          <t>Moisturiser</t>
        </is>
      </c>
      <c r="D8" s="64" t="inlineStr">
        <is>
          <t>DTC</t>
        </is>
      </c>
      <c r="E8" s="51">
        <f>SUMIFS('08_Sales_Orders'!$E$3:$E$62,'08_Sales_Orders'!$B$3:$B$62,A8,'08_Sales_Orders'!$D$3:$D$62,D8)</f>
        <v/>
      </c>
      <c r="F8" s="52" t="n">
        <v>28.99</v>
      </c>
      <c r="G8" s="53">
        <f>IF(F8=0, 0, 1-(H8/F8))</f>
        <v/>
      </c>
      <c r="H8" s="54">
        <f>IF(E8=0, 0, I8/E8)</f>
        <v/>
      </c>
      <c r="I8" s="55">
        <f>SUMIFS('08_Sales_Orders'!$I$3:$I$62,'08_Sales_Orders'!$B$3:$B$62,A8,'08_Sales_Orders'!$D$3:$D$62,D8)</f>
        <v/>
      </c>
      <c r="J8" s="56">
        <f>SUMIFS('08_Sales_Orders'!$J$3:$J$62,'08_Sales_Orders'!$B$3:$B$62,A8,'08_Sales_Orders'!$D$3:$D$62,D8)</f>
        <v/>
      </c>
      <c r="K8" s="57">
        <f>SUMIFS('08_Sales_Orders'!$K$3:$K$62,'08_Sales_Orders'!$B$3:$B$62,A8,'08_Sales_Orders'!$D$3:$D$62,D8)</f>
        <v/>
      </c>
      <c r="L8" s="54">
        <f>SUMIFS('08_Sales_Orders'!$L$3:$L$62,'08_Sales_Orders'!$B$3:$B$62,A8,'08_Sales_Orders'!$D$3:$D$62,D8)</f>
        <v/>
      </c>
      <c r="M8" s="55">
        <f>SUMIFS('08_Sales_Orders'!$M$3:$M$62,'08_Sales_Orders'!$B$3:$B$62,A8,'08_Sales_Orders'!$D$3:$D$62,D8)</f>
        <v/>
      </c>
      <c r="N8" s="52" t="n">
        <v>5.4</v>
      </c>
      <c r="O8" s="52" t="n">
        <v>2.55</v>
      </c>
      <c r="P8" s="58">
        <f>'07_Channel_Costs'!B4*H8</f>
        <v/>
      </c>
      <c r="Q8" s="58">
        <f>'07_Channel_Costs'!C4</f>
        <v/>
      </c>
      <c r="R8" s="58">
        <f>'07_Channel_Costs'!D4</f>
        <v/>
      </c>
      <c r="S8" s="58">
        <f>'07_Channel_Costs'!E4*H8</f>
        <v/>
      </c>
      <c r="T8" s="58">
        <f>J8*H8</f>
        <v/>
      </c>
      <c r="U8" s="58">
        <f>J8*'07_Channel_Costs'!F4*N8</f>
        <v/>
      </c>
      <c r="V8" s="58">
        <f>J8*'07_Channel_Costs'!G4</f>
        <v/>
      </c>
      <c r="W8" s="59">
        <f>IF(K8=0,0,(E8*(N8+O8) + K8*(P8+Q8+R8+S8) + U8 + V8)/K8)</f>
        <v/>
      </c>
      <c r="X8" s="40">
        <f>IF(K8=0,0,(M8-(E8*(N8+O8) + K8*(P8+Q8+R8+S8) + U8 + V8))/K8)</f>
        <v/>
      </c>
      <c r="Y8" s="41">
        <f>IF(M8=0,"",(M8-(E8*(N8+O8) + K8*(P8+Q8+R8+S8) + U8 + V8))/M8)</f>
        <v/>
      </c>
      <c r="Z8" s="60">
        <f>M8-(E8*(N8+O8) + K8*(P8+Q8+R8+S8) + U8 + V8)</f>
        <v/>
      </c>
      <c r="AA8" s="61">
        <f>IF(Y8&gt;=0.4,"🚀 SCALE",IF(Y8&gt;=0.25,"⚙ OPTIMIZE",IF(Y8&gt;=0,"⚠ REVIEW","🔴 KILL")))</f>
        <v/>
      </c>
    </row>
    <row r="9" ht="20" customHeight="1">
      <c r="A9" s="48" t="inlineStr">
        <is>
          <t>SKU-003</t>
        </is>
      </c>
      <c r="B9" s="49" t="inlineStr">
        <is>
          <t>Retinol Night Cream 30ml</t>
        </is>
      </c>
      <c r="C9" s="48" t="inlineStr">
        <is>
          <t>Cream</t>
        </is>
      </c>
      <c r="D9" s="50" t="inlineStr">
        <is>
          <t>Amazon</t>
        </is>
      </c>
      <c r="E9" s="51">
        <f>SUMIFS('08_Sales_Orders'!$E$3:$E$62,'08_Sales_Orders'!$B$3:$B$62,A9,'08_Sales_Orders'!$D$3:$D$62,D9)</f>
        <v/>
      </c>
      <c r="F9" s="52" t="n">
        <v>42.99</v>
      </c>
      <c r="G9" s="53">
        <f>IF(F9=0, 0, 1-(H9/F9))</f>
        <v/>
      </c>
      <c r="H9" s="54">
        <f>IF(E9=0, 0, I9/E9)</f>
        <v/>
      </c>
      <c r="I9" s="55">
        <f>SUMIFS('08_Sales_Orders'!$I$3:$I$62,'08_Sales_Orders'!$B$3:$B$62,A9,'08_Sales_Orders'!$D$3:$D$62,D9)</f>
        <v/>
      </c>
      <c r="J9" s="56">
        <f>SUMIFS('08_Sales_Orders'!$J$3:$J$62,'08_Sales_Orders'!$B$3:$B$62,A9,'08_Sales_Orders'!$D$3:$D$62,D9)</f>
        <v/>
      </c>
      <c r="K9" s="57">
        <f>SUMIFS('08_Sales_Orders'!$K$3:$K$62,'08_Sales_Orders'!$B$3:$B$62,A9,'08_Sales_Orders'!$D$3:$D$62,D9)</f>
        <v/>
      </c>
      <c r="L9" s="54">
        <f>SUMIFS('08_Sales_Orders'!$L$3:$L$62,'08_Sales_Orders'!$B$3:$B$62,A9,'08_Sales_Orders'!$D$3:$D$62,D9)</f>
        <v/>
      </c>
      <c r="M9" s="55">
        <f>SUMIFS('08_Sales_Orders'!$M$3:$M$62,'08_Sales_Orders'!$B$3:$B$62,A9,'08_Sales_Orders'!$D$3:$D$62,D9)</f>
        <v/>
      </c>
      <c r="N9" s="52" t="n">
        <v>8.5</v>
      </c>
      <c r="O9" s="52" t="n">
        <v>3.1</v>
      </c>
      <c r="P9" s="58">
        <f>'07_Channel_Costs'!B3*H9</f>
        <v/>
      </c>
      <c r="Q9" s="58">
        <f>'07_Channel_Costs'!C3</f>
        <v/>
      </c>
      <c r="R9" s="58">
        <f>'07_Channel_Costs'!D3</f>
        <v/>
      </c>
      <c r="S9" s="58">
        <f>'07_Channel_Costs'!E3*H9</f>
        <v/>
      </c>
      <c r="T9" s="58">
        <f>J9*H9</f>
        <v/>
      </c>
      <c r="U9" s="58">
        <f>J9*'07_Channel_Costs'!F3*N9</f>
        <v/>
      </c>
      <c r="V9" s="58">
        <f>J9*'07_Channel_Costs'!G3</f>
        <v/>
      </c>
      <c r="W9" s="59">
        <f>IF(K9=0,0,(E9*(N9+O9) + K9*(P9+Q9+R9+S9) + U9 + V9)/K9)</f>
        <v/>
      </c>
      <c r="X9" s="40">
        <f>IF(K9=0,0,(M9-(E9*(N9+O9) + K9*(P9+Q9+R9+S9) + U9 + V9))/K9)</f>
        <v/>
      </c>
      <c r="Y9" s="41">
        <f>IF(M9=0,"",(M9-(E9*(N9+O9) + K9*(P9+Q9+R9+S9) + U9 + V9))/M9)</f>
        <v/>
      </c>
      <c r="Z9" s="60">
        <f>M9-(E9*(N9+O9) + K9*(P9+Q9+R9+S9) + U9 + V9)</f>
        <v/>
      </c>
      <c r="AA9" s="61">
        <f>IF(Y9&gt;=0.4,"🚀 SCALE",IF(Y9&gt;=0.25,"⚙ OPTIMIZE",IF(Y9&gt;=0,"⚠ REVIEW","🔴 KILL")))</f>
        <v/>
      </c>
    </row>
    <row r="10" ht="20" customHeight="1">
      <c r="A10" s="62" t="inlineStr">
        <is>
          <t>SKU-003</t>
        </is>
      </c>
      <c r="B10" s="63" t="inlineStr">
        <is>
          <t>Retinol Night Cream 30ml</t>
        </is>
      </c>
      <c r="C10" s="62" t="inlineStr">
        <is>
          <t>Cream</t>
        </is>
      </c>
      <c r="D10" s="64" t="inlineStr">
        <is>
          <t>DTC</t>
        </is>
      </c>
      <c r="E10" s="51">
        <f>SUMIFS('08_Sales_Orders'!$E$3:$E$62,'08_Sales_Orders'!$B$3:$B$62,A10,'08_Sales_Orders'!$D$3:$D$62,D10)</f>
        <v/>
      </c>
      <c r="F10" s="52" t="n">
        <v>42.99</v>
      </c>
      <c r="G10" s="53">
        <f>IF(F10=0, 0, 1-(H10/F10))</f>
        <v/>
      </c>
      <c r="H10" s="54">
        <f>IF(E10=0, 0, I10/E10)</f>
        <v/>
      </c>
      <c r="I10" s="55">
        <f>SUMIFS('08_Sales_Orders'!$I$3:$I$62,'08_Sales_Orders'!$B$3:$B$62,A10,'08_Sales_Orders'!$D$3:$D$62,D10)</f>
        <v/>
      </c>
      <c r="J10" s="56">
        <f>SUMIFS('08_Sales_Orders'!$J$3:$J$62,'08_Sales_Orders'!$B$3:$B$62,A10,'08_Sales_Orders'!$D$3:$D$62,D10)</f>
        <v/>
      </c>
      <c r="K10" s="57">
        <f>SUMIFS('08_Sales_Orders'!$K$3:$K$62,'08_Sales_Orders'!$B$3:$B$62,A10,'08_Sales_Orders'!$D$3:$D$62,D10)</f>
        <v/>
      </c>
      <c r="L10" s="54">
        <f>SUMIFS('08_Sales_Orders'!$L$3:$L$62,'08_Sales_Orders'!$B$3:$B$62,A10,'08_Sales_Orders'!$D$3:$D$62,D10)</f>
        <v/>
      </c>
      <c r="M10" s="55">
        <f>SUMIFS('08_Sales_Orders'!$M$3:$M$62,'08_Sales_Orders'!$B$3:$B$62,A10,'08_Sales_Orders'!$D$3:$D$62,D10)</f>
        <v/>
      </c>
      <c r="N10" s="52" t="n">
        <v>8.5</v>
      </c>
      <c r="O10" s="52" t="n">
        <v>3.1</v>
      </c>
      <c r="P10" s="58">
        <f>'07_Channel_Costs'!B4*H10</f>
        <v/>
      </c>
      <c r="Q10" s="58">
        <f>'07_Channel_Costs'!C4</f>
        <v/>
      </c>
      <c r="R10" s="58">
        <f>'07_Channel_Costs'!D4</f>
        <v/>
      </c>
      <c r="S10" s="58">
        <f>'07_Channel_Costs'!E4*H10</f>
        <v/>
      </c>
      <c r="T10" s="58">
        <f>J10*H10</f>
        <v/>
      </c>
      <c r="U10" s="58">
        <f>J10*'07_Channel_Costs'!F4*N10</f>
        <v/>
      </c>
      <c r="V10" s="58">
        <f>J10*'07_Channel_Costs'!G4</f>
        <v/>
      </c>
      <c r="W10" s="59">
        <f>IF(K10=0,0,(E10*(N10+O10) + K10*(P10+Q10+R10+S10) + U10 + V10)/K10)</f>
        <v/>
      </c>
      <c r="X10" s="40">
        <f>IF(K10=0,0,(M10-(E10*(N10+O10) + K10*(P10+Q10+R10+S10) + U10 + V10))/K10)</f>
        <v/>
      </c>
      <c r="Y10" s="41">
        <f>IF(M10=0,"",(M10-(E10*(N10+O10) + K10*(P10+Q10+R10+S10) + U10 + V10))/M10)</f>
        <v/>
      </c>
      <c r="Z10" s="60">
        <f>M10-(E10*(N10+O10) + K10*(P10+Q10+R10+S10) + U10 + V10)</f>
        <v/>
      </c>
      <c r="AA10" s="61">
        <f>IF(Y10&gt;=0.4,"🚀 SCALE",IF(Y10&gt;=0.25,"⚙ OPTIMIZE",IF(Y10&gt;=0,"⚠ REVIEW","🔴 KILL")))</f>
        <v/>
      </c>
    </row>
    <row r="11" ht="20" customHeight="1">
      <c r="A11" s="48" t="inlineStr">
        <is>
          <t>SKU-004</t>
        </is>
      </c>
      <c r="B11" s="49" t="inlineStr">
        <is>
          <t>SPF 50+ Daily Sunscreen 75ml</t>
        </is>
      </c>
      <c r="C11" s="48" t="inlineStr">
        <is>
          <t>Sunscreen</t>
        </is>
      </c>
      <c r="D11" s="50" t="inlineStr">
        <is>
          <t>Amazon</t>
        </is>
      </c>
      <c r="E11" s="51">
        <f>SUMIFS('08_Sales_Orders'!$E$3:$E$62,'08_Sales_Orders'!$B$3:$B$62,A11,'08_Sales_Orders'!$D$3:$D$62,D11)</f>
        <v/>
      </c>
      <c r="F11" s="52" t="n">
        <v>22.99</v>
      </c>
      <c r="G11" s="53">
        <f>IF(F11=0, 0, 1-(H11/F11))</f>
        <v/>
      </c>
      <c r="H11" s="54">
        <f>IF(E11=0, 0, I11/E11)</f>
        <v/>
      </c>
      <c r="I11" s="55">
        <f>SUMIFS('08_Sales_Orders'!$I$3:$I$62,'08_Sales_Orders'!$B$3:$B$62,A11,'08_Sales_Orders'!$D$3:$D$62,D11)</f>
        <v/>
      </c>
      <c r="J11" s="56">
        <f>SUMIFS('08_Sales_Orders'!$J$3:$J$62,'08_Sales_Orders'!$B$3:$B$62,A11,'08_Sales_Orders'!$D$3:$D$62,D11)</f>
        <v/>
      </c>
      <c r="K11" s="57">
        <f>SUMIFS('08_Sales_Orders'!$K$3:$K$62,'08_Sales_Orders'!$B$3:$B$62,A11,'08_Sales_Orders'!$D$3:$D$62,D11)</f>
        <v/>
      </c>
      <c r="L11" s="54">
        <f>SUMIFS('08_Sales_Orders'!$L$3:$L$62,'08_Sales_Orders'!$B$3:$B$62,A11,'08_Sales_Orders'!$D$3:$D$62,D11)</f>
        <v/>
      </c>
      <c r="M11" s="55">
        <f>SUMIFS('08_Sales_Orders'!$M$3:$M$62,'08_Sales_Orders'!$B$3:$B$62,A11,'08_Sales_Orders'!$D$3:$D$62,D11)</f>
        <v/>
      </c>
      <c r="N11" s="52" t="n">
        <v>4.1</v>
      </c>
      <c r="O11" s="52" t="n">
        <v>2.25</v>
      </c>
      <c r="P11" s="58">
        <f>'07_Channel_Costs'!B3*H11</f>
        <v/>
      </c>
      <c r="Q11" s="58">
        <f>'07_Channel_Costs'!C3</f>
        <v/>
      </c>
      <c r="R11" s="58">
        <f>'07_Channel_Costs'!D3</f>
        <v/>
      </c>
      <c r="S11" s="58">
        <f>'07_Channel_Costs'!E3*H11</f>
        <v/>
      </c>
      <c r="T11" s="58">
        <f>J11*H11</f>
        <v/>
      </c>
      <c r="U11" s="58">
        <f>J11*'07_Channel_Costs'!F3*N11</f>
        <v/>
      </c>
      <c r="V11" s="58">
        <f>J11*'07_Channel_Costs'!G3</f>
        <v/>
      </c>
      <c r="W11" s="59">
        <f>IF(K11=0,0,(E11*(N11+O11) + K11*(P11+Q11+R11+S11) + U11 + V11)/K11)</f>
        <v/>
      </c>
      <c r="X11" s="40">
        <f>IF(K11=0,0,(M11-(E11*(N11+O11) + K11*(P11+Q11+R11+S11) + U11 + V11))/K11)</f>
        <v/>
      </c>
      <c r="Y11" s="41">
        <f>IF(M11=0,"",(M11-(E11*(N11+O11) + K11*(P11+Q11+R11+S11) + U11 + V11))/M11)</f>
        <v/>
      </c>
      <c r="Z11" s="60">
        <f>M11-(E11*(N11+O11) + K11*(P11+Q11+R11+S11) + U11 + V11)</f>
        <v/>
      </c>
      <c r="AA11" s="61">
        <f>IF(Y11&gt;=0.4,"🚀 SCALE",IF(Y11&gt;=0.25,"⚙ OPTIMIZE",IF(Y11&gt;=0,"⚠ REVIEW","🔴 KILL")))</f>
        <v/>
      </c>
    </row>
    <row r="12" ht="20" customHeight="1">
      <c r="A12" s="62" t="inlineStr">
        <is>
          <t>SKU-004</t>
        </is>
      </c>
      <c r="B12" s="63" t="inlineStr">
        <is>
          <t>SPF 50+ Daily Sunscreen 75ml</t>
        </is>
      </c>
      <c r="C12" s="62" t="inlineStr">
        <is>
          <t>Sunscreen</t>
        </is>
      </c>
      <c r="D12" s="64" t="inlineStr">
        <is>
          <t>DTC</t>
        </is>
      </c>
      <c r="E12" s="51">
        <f>SUMIFS('08_Sales_Orders'!$E$3:$E$62,'08_Sales_Orders'!$B$3:$B$62,A12,'08_Sales_Orders'!$D$3:$D$62,D12)</f>
        <v/>
      </c>
      <c r="F12" s="52" t="n">
        <v>22.99</v>
      </c>
      <c r="G12" s="53">
        <f>IF(F12=0, 0, 1-(H12/F12))</f>
        <v/>
      </c>
      <c r="H12" s="54">
        <f>IF(E12=0, 0, I12/E12)</f>
        <v/>
      </c>
      <c r="I12" s="55">
        <f>SUMIFS('08_Sales_Orders'!$I$3:$I$62,'08_Sales_Orders'!$B$3:$B$62,A12,'08_Sales_Orders'!$D$3:$D$62,D12)</f>
        <v/>
      </c>
      <c r="J12" s="56">
        <f>SUMIFS('08_Sales_Orders'!$J$3:$J$62,'08_Sales_Orders'!$B$3:$B$62,A12,'08_Sales_Orders'!$D$3:$D$62,D12)</f>
        <v/>
      </c>
      <c r="K12" s="57">
        <f>SUMIFS('08_Sales_Orders'!$K$3:$K$62,'08_Sales_Orders'!$B$3:$B$62,A12,'08_Sales_Orders'!$D$3:$D$62,D12)</f>
        <v/>
      </c>
      <c r="L12" s="54">
        <f>SUMIFS('08_Sales_Orders'!$L$3:$L$62,'08_Sales_Orders'!$B$3:$B$62,A12,'08_Sales_Orders'!$D$3:$D$62,D12)</f>
        <v/>
      </c>
      <c r="M12" s="55">
        <f>SUMIFS('08_Sales_Orders'!$M$3:$M$62,'08_Sales_Orders'!$B$3:$B$62,A12,'08_Sales_Orders'!$D$3:$D$62,D12)</f>
        <v/>
      </c>
      <c r="N12" s="52" t="n">
        <v>4.1</v>
      </c>
      <c r="O12" s="52" t="n">
        <v>2.25</v>
      </c>
      <c r="P12" s="58">
        <f>'07_Channel_Costs'!B4*H12</f>
        <v/>
      </c>
      <c r="Q12" s="58">
        <f>'07_Channel_Costs'!C4</f>
        <v/>
      </c>
      <c r="R12" s="58">
        <f>'07_Channel_Costs'!D4</f>
        <v/>
      </c>
      <c r="S12" s="58">
        <f>'07_Channel_Costs'!E4*H12</f>
        <v/>
      </c>
      <c r="T12" s="58">
        <f>J12*H12</f>
        <v/>
      </c>
      <c r="U12" s="58">
        <f>J12*'07_Channel_Costs'!F4*N12</f>
        <v/>
      </c>
      <c r="V12" s="58">
        <f>J12*'07_Channel_Costs'!G4</f>
        <v/>
      </c>
      <c r="W12" s="59">
        <f>IF(K12=0,0,(E12*(N12+O12) + K12*(P12+Q12+R12+S12) + U12 + V12)/K12)</f>
        <v/>
      </c>
      <c r="X12" s="40">
        <f>IF(K12=0,0,(M12-(E12*(N12+O12) + K12*(P12+Q12+R12+S12) + U12 + V12))/K12)</f>
        <v/>
      </c>
      <c r="Y12" s="41">
        <f>IF(M12=0,"",(M12-(E12*(N12+O12) + K12*(P12+Q12+R12+S12) + U12 + V12))/M12)</f>
        <v/>
      </c>
      <c r="Z12" s="60">
        <f>M12-(E12*(N12+O12) + K12*(P12+Q12+R12+S12) + U12 + V12)</f>
        <v/>
      </c>
      <c r="AA12" s="61">
        <f>IF(Y12&gt;=0.4,"🚀 SCALE",IF(Y12&gt;=0.25,"⚙ OPTIMIZE",IF(Y12&gt;=0,"⚠ REVIEW","🔴 KILL")))</f>
        <v/>
      </c>
    </row>
    <row r="13" ht="20" customHeight="1">
      <c r="A13" s="48" t="inlineStr">
        <is>
          <t>SKU-005</t>
        </is>
      </c>
      <c r="B13" s="49" t="inlineStr">
        <is>
          <t>AHA/BHA Exfoliating Toner 200ml</t>
        </is>
      </c>
      <c r="C13" s="48" t="inlineStr">
        <is>
          <t>Toner</t>
        </is>
      </c>
      <c r="D13" s="50" t="inlineStr">
        <is>
          <t>Amazon</t>
        </is>
      </c>
      <c r="E13" s="51">
        <f>SUMIFS('08_Sales_Orders'!$E$3:$E$62,'08_Sales_Orders'!$B$3:$B$62,A13,'08_Sales_Orders'!$D$3:$D$62,D13)</f>
        <v/>
      </c>
      <c r="F13" s="52" t="n">
        <v>26.99</v>
      </c>
      <c r="G13" s="53">
        <f>IF(F13=0, 0, 1-(H13/F13))</f>
        <v/>
      </c>
      <c r="H13" s="54">
        <f>IF(E13=0, 0, I13/E13)</f>
        <v/>
      </c>
      <c r="I13" s="55">
        <f>SUMIFS('08_Sales_Orders'!$I$3:$I$62,'08_Sales_Orders'!$B$3:$B$62,A13,'08_Sales_Orders'!$D$3:$D$62,D13)</f>
        <v/>
      </c>
      <c r="J13" s="56">
        <f>SUMIFS('08_Sales_Orders'!$J$3:$J$62,'08_Sales_Orders'!$B$3:$B$62,A13,'08_Sales_Orders'!$D$3:$D$62,D13)</f>
        <v/>
      </c>
      <c r="K13" s="57">
        <f>SUMIFS('08_Sales_Orders'!$K$3:$K$62,'08_Sales_Orders'!$B$3:$B$62,A13,'08_Sales_Orders'!$D$3:$D$62,D13)</f>
        <v/>
      </c>
      <c r="L13" s="54">
        <f>SUMIFS('08_Sales_Orders'!$L$3:$L$62,'08_Sales_Orders'!$B$3:$B$62,A13,'08_Sales_Orders'!$D$3:$D$62,D13)</f>
        <v/>
      </c>
      <c r="M13" s="55">
        <f>SUMIFS('08_Sales_Orders'!$M$3:$M$62,'08_Sales_Orders'!$B$3:$B$62,A13,'08_Sales_Orders'!$D$3:$D$62,D13)</f>
        <v/>
      </c>
      <c r="N13" s="52" t="n">
        <v>4.8</v>
      </c>
      <c r="O13" s="52" t="n">
        <v>2.45</v>
      </c>
      <c r="P13" s="58">
        <f>'07_Channel_Costs'!B3*H13</f>
        <v/>
      </c>
      <c r="Q13" s="58">
        <f>'07_Channel_Costs'!C3</f>
        <v/>
      </c>
      <c r="R13" s="58">
        <f>'07_Channel_Costs'!D3</f>
        <v/>
      </c>
      <c r="S13" s="58">
        <f>'07_Channel_Costs'!E3*H13</f>
        <v/>
      </c>
      <c r="T13" s="58">
        <f>J13*H13</f>
        <v/>
      </c>
      <c r="U13" s="58">
        <f>J13*'07_Channel_Costs'!F3*N13</f>
        <v/>
      </c>
      <c r="V13" s="58">
        <f>J13*'07_Channel_Costs'!G3</f>
        <v/>
      </c>
      <c r="W13" s="59">
        <f>IF(K13=0,0,(E13*(N13+O13) + K13*(P13+Q13+R13+S13) + U13 + V13)/K13)</f>
        <v/>
      </c>
      <c r="X13" s="40">
        <f>IF(K13=0,0,(M13-(E13*(N13+O13) + K13*(P13+Q13+R13+S13) + U13 + V13))/K13)</f>
        <v/>
      </c>
      <c r="Y13" s="41">
        <f>IF(M13=0,"",(M13-(E13*(N13+O13) + K13*(P13+Q13+R13+S13) + U13 + V13))/M13)</f>
        <v/>
      </c>
      <c r="Z13" s="60">
        <f>M13-(E13*(N13+O13) + K13*(P13+Q13+R13+S13) + U13 + V13)</f>
        <v/>
      </c>
      <c r="AA13" s="61">
        <f>IF(Y13&gt;=0.4,"🚀 SCALE",IF(Y13&gt;=0.25,"⚙ OPTIMIZE",IF(Y13&gt;=0,"⚠ REVIEW","🔴 KILL")))</f>
        <v/>
      </c>
    </row>
    <row r="14" ht="20" customHeight="1">
      <c r="A14" s="62" t="inlineStr">
        <is>
          <t>SKU-005</t>
        </is>
      </c>
      <c r="B14" s="63" t="inlineStr">
        <is>
          <t>AHA/BHA Exfoliating Toner 200ml</t>
        </is>
      </c>
      <c r="C14" s="62" t="inlineStr">
        <is>
          <t>Toner</t>
        </is>
      </c>
      <c r="D14" s="64" t="inlineStr">
        <is>
          <t>DTC</t>
        </is>
      </c>
      <c r="E14" s="51">
        <f>SUMIFS('08_Sales_Orders'!$E$3:$E$62,'08_Sales_Orders'!$B$3:$B$62,A14,'08_Sales_Orders'!$D$3:$D$62,D14)</f>
        <v/>
      </c>
      <c r="F14" s="52" t="n">
        <v>26.99</v>
      </c>
      <c r="G14" s="53">
        <f>IF(F14=0, 0, 1-(H14/F14))</f>
        <v/>
      </c>
      <c r="H14" s="54">
        <f>IF(E14=0, 0, I14/E14)</f>
        <v/>
      </c>
      <c r="I14" s="55">
        <f>SUMIFS('08_Sales_Orders'!$I$3:$I$62,'08_Sales_Orders'!$B$3:$B$62,A14,'08_Sales_Orders'!$D$3:$D$62,D14)</f>
        <v/>
      </c>
      <c r="J14" s="56">
        <f>SUMIFS('08_Sales_Orders'!$J$3:$J$62,'08_Sales_Orders'!$B$3:$B$62,A14,'08_Sales_Orders'!$D$3:$D$62,D14)</f>
        <v/>
      </c>
      <c r="K14" s="57">
        <f>SUMIFS('08_Sales_Orders'!$K$3:$K$62,'08_Sales_Orders'!$B$3:$B$62,A14,'08_Sales_Orders'!$D$3:$D$62,D14)</f>
        <v/>
      </c>
      <c r="L14" s="54">
        <f>SUMIFS('08_Sales_Orders'!$L$3:$L$62,'08_Sales_Orders'!$B$3:$B$62,A14,'08_Sales_Orders'!$D$3:$D$62,D14)</f>
        <v/>
      </c>
      <c r="M14" s="55">
        <f>SUMIFS('08_Sales_Orders'!$M$3:$M$62,'08_Sales_Orders'!$B$3:$B$62,A14,'08_Sales_Orders'!$D$3:$D$62,D14)</f>
        <v/>
      </c>
      <c r="N14" s="52" t="n">
        <v>4.8</v>
      </c>
      <c r="O14" s="52" t="n">
        <v>2.45</v>
      </c>
      <c r="P14" s="58">
        <f>'07_Channel_Costs'!B4*H14</f>
        <v/>
      </c>
      <c r="Q14" s="58">
        <f>'07_Channel_Costs'!C4</f>
        <v/>
      </c>
      <c r="R14" s="58">
        <f>'07_Channel_Costs'!D4</f>
        <v/>
      </c>
      <c r="S14" s="58">
        <f>'07_Channel_Costs'!E4*H14</f>
        <v/>
      </c>
      <c r="T14" s="58">
        <f>J14*H14</f>
        <v/>
      </c>
      <c r="U14" s="58">
        <f>J14*'07_Channel_Costs'!F4*N14</f>
        <v/>
      </c>
      <c r="V14" s="58">
        <f>J14*'07_Channel_Costs'!G4</f>
        <v/>
      </c>
      <c r="W14" s="59">
        <f>IF(K14=0,0,(E14*(N14+O14) + K14*(P14+Q14+R14+S14) + U14 + V14)/K14)</f>
        <v/>
      </c>
      <c r="X14" s="40">
        <f>IF(K14=0,0,(M14-(E14*(N14+O14) + K14*(P14+Q14+R14+S14) + U14 + V14))/K14)</f>
        <v/>
      </c>
      <c r="Y14" s="41">
        <f>IF(M14=0,"",(M14-(E14*(N14+O14) + K14*(P14+Q14+R14+S14) + U14 + V14))/M14)</f>
        <v/>
      </c>
      <c r="Z14" s="60">
        <f>M14-(E14*(N14+O14) + K14*(P14+Q14+R14+S14) + U14 + V14)</f>
        <v/>
      </c>
      <c r="AA14" s="61">
        <f>IF(Y14&gt;=0.4,"🚀 SCALE",IF(Y14&gt;=0.25,"⚙ OPTIMIZE",IF(Y14&gt;=0,"⚠ REVIEW","🔴 KILL")))</f>
        <v/>
      </c>
    </row>
    <row r="15" ht="20" customHeight="1">
      <c r="A15" s="48" t="inlineStr">
        <is>
          <t>SKU-006</t>
        </is>
      </c>
      <c r="B15" s="49" t="inlineStr">
        <is>
          <t>Niacinamide Pore Minimiser Serum</t>
        </is>
      </c>
      <c r="C15" s="48" t="inlineStr">
        <is>
          <t>Serum</t>
        </is>
      </c>
      <c r="D15" s="50" t="inlineStr">
        <is>
          <t>Amazon</t>
        </is>
      </c>
      <c r="E15" s="51">
        <f>SUMIFS('08_Sales_Orders'!$E$3:$E$62,'08_Sales_Orders'!$B$3:$B$62,A15,'08_Sales_Orders'!$D$3:$D$62,D15)</f>
        <v/>
      </c>
      <c r="F15" s="52" t="n">
        <v>31.99</v>
      </c>
      <c r="G15" s="53">
        <f>IF(F15=0, 0, 1-(H15/F15))</f>
        <v/>
      </c>
      <c r="H15" s="54">
        <f>IF(E15=0, 0, I15/E15)</f>
        <v/>
      </c>
      <c r="I15" s="55">
        <f>SUMIFS('08_Sales_Orders'!$I$3:$I$62,'08_Sales_Orders'!$B$3:$B$62,A15,'08_Sales_Orders'!$D$3:$D$62,D15)</f>
        <v/>
      </c>
      <c r="J15" s="56">
        <f>SUMIFS('08_Sales_Orders'!$J$3:$J$62,'08_Sales_Orders'!$B$3:$B$62,A15,'08_Sales_Orders'!$D$3:$D$62,D15)</f>
        <v/>
      </c>
      <c r="K15" s="57">
        <f>SUMIFS('08_Sales_Orders'!$K$3:$K$62,'08_Sales_Orders'!$B$3:$B$62,A15,'08_Sales_Orders'!$D$3:$D$62,D15)</f>
        <v/>
      </c>
      <c r="L15" s="54">
        <f>SUMIFS('08_Sales_Orders'!$L$3:$L$62,'08_Sales_Orders'!$B$3:$B$62,A15,'08_Sales_Orders'!$D$3:$D$62,D15)</f>
        <v/>
      </c>
      <c r="M15" s="55">
        <f>SUMIFS('08_Sales_Orders'!$M$3:$M$62,'08_Sales_Orders'!$B$3:$B$62,A15,'08_Sales_Orders'!$D$3:$D$62,D15)</f>
        <v/>
      </c>
      <c r="N15" s="52" t="n">
        <v>5.9</v>
      </c>
      <c r="O15" s="52" t="n">
        <v>2.8</v>
      </c>
      <c r="P15" s="58">
        <f>'07_Channel_Costs'!B3*H15</f>
        <v/>
      </c>
      <c r="Q15" s="58">
        <f>'07_Channel_Costs'!C3</f>
        <v/>
      </c>
      <c r="R15" s="58">
        <f>'07_Channel_Costs'!D3</f>
        <v/>
      </c>
      <c r="S15" s="58">
        <f>'07_Channel_Costs'!E3*H15</f>
        <v/>
      </c>
      <c r="T15" s="58">
        <f>J15*H15</f>
        <v/>
      </c>
      <c r="U15" s="58">
        <f>J15*'07_Channel_Costs'!F3*N15</f>
        <v/>
      </c>
      <c r="V15" s="58">
        <f>J15*'07_Channel_Costs'!G3</f>
        <v/>
      </c>
      <c r="W15" s="59">
        <f>IF(K15=0,0,(E15*(N15+O15) + K15*(P15+Q15+R15+S15) + U15 + V15)/K15)</f>
        <v/>
      </c>
      <c r="X15" s="40">
        <f>IF(K15=0,0,(M15-(E15*(N15+O15) + K15*(P15+Q15+R15+S15) + U15 + V15))/K15)</f>
        <v/>
      </c>
      <c r="Y15" s="41">
        <f>IF(M15=0,"",(M15-(E15*(N15+O15) + K15*(P15+Q15+R15+S15) + U15 + V15))/M15)</f>
        <v/>
      </c>
      <c r="Z15" s="60">
        <f>M15-(E15*(N15+O15) + K15*(P15+Q15+R15+S15) + U15 + V15)</f>
        <v/>
      </c>
      <c r="AA15" s="61">
        <f>IF(Y15&gt;=0.4,"🚀 SCALE",IF(Y15&gt;=0.25,"⚙ OPTIMIZE",IF(Y15&gt;=0,"⚠ REVIEW","🔴 KILL")))</f>
        <v/>
      </c>
    </row>
    <row r="16" ht="20" customHeight="1">
      <c r="A16" s="62" t="inlineStr">
        <is>
          <t>SKU-006</t>
        </is>
      </c>
      <c r="B16" s="63" t="inlineStr">
        <is>
          <t>Niacinamide Pore Minimiser Serum</t>
        </is>
      </c>
      <c r="C16" s="62" t="inlineStr">
        <is>
          <t>Serum</t>
        </is>
      </c>
      <c r="D16" s="64" t="inlineStr">
        <is>
          <t>DTC</t>
        </is>
      </c>
      <c r="E16" s="51">
        <f>SUMIFS('08_Sales_Orders'!$E$3:$E$62,'08_Sales_Orders'!$B$3:$B$62,A16,'08_Sales_Orders'!$D$3:$D$62,D16)</f>
        <v/>
      </c>
      <c r="F16" s="52" t="n">
        <v>31.99</v>
      </c>
      <c r="G16" s="53">
        <f>IF(F16=0, 0, 1-(H16/F16))</f>
        <v/>
      </c>
      <c r="H16" s="54">
        <f>IF(E16=0, 0, I16/E16)</f>
        <v/>
      </c>
      <c r="I16" s="55">
        <f>SUMIFS('08_Sales_Orders'!$I$3:$I$62,'08_Sales_Orders'!$B$3:$B$62,A16,'08_Sales_Orders'!$D$3:$D$62,D16)</f>
        <v/>
      </c>
      <c r="J16" s="56">
        <f>SUMIFS('08_Sales_Orders'!$J$3:$J$62,'08_Sales_Orders'!$B$3:$B$62,A16,'08_Sales_Orders'!$D$3:$D$62,D16)</f>
        <v/>
      </c>
      <c r="K16" s="57">
        <f>SUMIFS('08_Sales_Orders'!$K$3:$K$62,'08_Sales_Orders'!$B$3:$B$62,A16,'08_Sales_Orders'!$D$3:$D$62,D16)</f>
        <v/>
      </c>
      <c r="L16" s="54">
        <f>SUMIFS('08_Sales_Orders'!$L$3:$L$62,'08_Sales_Orders'!$B$3:$B$62,A16,'08_Sales_Orders'!$D$3:$D$62,D16)</f>
        <v/>
      </c>
      <c r="M16" s="55">
        <f>SUMIFS('08_Sales_Orders'!$M$3:$M$62,'08_Sales_Orders'!$B$3:$B$62,A16,'08_Sales_Orders'!$D$3:$D$62,D16)</f>
        <v/>
      </c>
      <c r="N16" s="52" t="n">
        <v>5.9</v>
      </c>
      <c r="O16" s="52" t="n">
        <v>2.8</v>
      </c>
      <c r="P16" s="58">
        <f>'07_Channel_Costs'!B4*H16</f>
        <v/>
      </c>
      <c r="Q16" s="58">
        <f>'07_Channel_Costs'!C4</f>
        <v/>
      </c>
      <c r="R16" s="58">
        <f>'07_Channel_Costs'!D4</f>
        <v/>
      </c>
      <c r="S16" s="58">
        <f>'07_Channel_Costs'!E4*H16</f>
        <v/>
      </c>
      <c r="T16" s="58">
        <f>J16*H16</f>
        <v/>
      </c>
      <c r="U16" s="58">
        <f>J16*'07_Channel_Costs'!F4*N16</f>
        <v/>
      </c>
      <c r="V16" s="58">
        <f>J16*'07_Channel_Costs'!G4</f>
        <v/>
      </c>
      <c r="W16" s="59">
        <f>IF(K16=0,0,(E16*(N16+O16) + K16*(P16+Q16+R16+S16) + U16 + V16)/K16)</f>
        <v/>
      </c>
      <c r="X16" s="40">
        <f>IF(K16=0,0,(M16-(E16*(N16+O16) + K16*(P16+Q16+R16+S16) + U16 + V16))/K16)</f>
        <v/>
      </c>
      <c r="Y16" s="41">
        <f>IF(M16=0,"",(M16-(E16*(N16+O16) + K16*(P16+Q16+R16+S16) + U16 + V16))/M16)</f>
        <v/>
      </c>
      <c r="Z16" s="60">
        <f>M16-(E16*(N16+O16) + K16*(P16+Q16+R16+S16) + U16 + V16)</f>
        <v/>
      </c>
      <c r="AA16" s="61">
        <f>IF(Y16&gt;=0.4,"🚀 SCALE",IF(Y16&gt;=0.25,"⚙ OPTIMIZE",IF(Y16&gt;=0,"⚠ REVIEW","🔴 KILL")))</f>
        <v/>
      </c>
    </row>
    <row r="17" ht="20" customHeight="1">
      <c r="A17" s="48" t="inlineStr">
        <is>
          <t>SKU-007</t>
        </is>
      </c>
      <c r="B17" s="49" t="inlineStr">
        <is>
          <t>Collagen Boosting Eye Cream 15ml</t>
        </is>
      </c>
      <c r="C17" s="48" t="inlineStr">
        <is>
          <t>Eye Care</t>
        </is>
      </c>
      <c r="D17" s="50" t="inlineStr">
        <is>
          <t>Amazon</t>
        </is>
      </c>
      <c r="E17" s="51">
        <f>SUMIFS('08_Sales_Orders'!$E$3:$E$62,'08_Sales_Orders'!$B$3:$B$62,A17,'08_Sales_Orders'!$D$3:$D$62,D17)</f>
        <v/>
      </c>
      <c r="F17" s="52" t="n">
        <v>38.99</v>
      </c>
      <c r="G17" s="53">
        <f>IF(F17=0, 0, 1-(H17/F17))</f>
        <v/>
      </c>
      <c r="H17" s="54">
        <f>IF(E17=0, 0, I17/E17)</f>
        <v/>
      </c>
      <c r="I17" s="55">
        <f>SUMIFS('08_Sales_Orders'!$I$3:$I$62,'08_Sales_Orders'!$B$3:$B$62,A17,'08_Sales_Orders'!$D$3:$D$62,D17)</f>
        <v/>
      </c>
      <c r="J17" s="56">
        <f>SUMIFS('08_Sales_Orders'!$J$3:$J$62,'08_Sales_Orders'!$B$3:$B$62,A17,'08_Sales_Orders'!$D$3:$D$62,D17)</f>
        <v/>
      </c>
      <c r="K17" s="57">
        <f>SUMIFS('08_Sales_Orders'!$K$3:$K$62,'08_Sales_Orders'!$B$3:$B$62,A17,'08_Sales_Orders'!$D$3:$D$62,D17)</f>
        <v/>
      </c>
      <c r="L17" s="54">
        <f>SUMIFS('08_Sales_Orders'!$L$3:$L$62,'08_Sales_Orders'!$B$3:$B$62,A17,'08_Sales_Orders'!$D$3:$D$62,D17)</f>
        <v/>
      </c>
      <c r="M17" s="55">
        <f>SUMIFS('08_Sales_Orders'!$M$3:$M$62,'08_Sales_Orders'!$B$3:$B$62,A17,'08_Sales_Orders'!$D$3:$D$62,D17)</f>
        <v/>
      </c>
      <c r="N17" s="52" t="n">
        <v>7.2</v>
      </c>
      <c r="O17" s="52" t="n">
        <v>3</v>
      </c>
      <c r="P17" s="58">
        <f>'07_Channel_Costs'!B3*H17</f>
        <v/>
      </c>
      <c r="Q17" s="58">
        <f>'07_Channel_Costs'!C3</f>
        <v/>
      </c>
      <c r="R17" s="58">
        <f>'07_Channel_Costs'!D3</f>
        <v/>
      </c>
      <c r="S17" s="58">
        <f>'07_Channel_Costs'!E3*H17</f>
        <v/>
      </c>
      <c r="T17" s="58">
        <f>J17*H17</f>
        <v/>
      </c>
      <c r="U17" s="58">
        <f>J17*'07_Channel_Costs'!F3*N17</f>
        <v/>
      </c>
      <c r="V17" s="58">
        <f>J17*'07_Channel_Costs'!G3</f>
        <v/>
      </c>
      <c r="W17" s="59">
        <f>IF(K17=0,0,(E17*(N17+O17) + K17*(P17+Q17+R17+S17) + U17 + V17)/K17)</f>
        <v/>
      </c>
      <c r="X17" s="40">
        <f>IF(K17=0,0,(M17-(E17*(N17+O17) + K17*(P17+Q17+R17+S17) + U17 + V17))/K17)</f>
        <v/>
      </c>
      <c r="Y17" s="41">
        <f>IF(M17=0,"",(M17-(E17*(N17+O17) + K17*(P17+Q17+R17+S17) + U17 + V17))/M17)</f>
        <v/>
      </c>
      <c r="Z17" s="60">
        <f>M17-(E17*(N17+O17) + K17*(P17+Q17+R17+S17) + U17 + V17)</f>
        <v/>
      </c>
      <c r="AA17" s="61">
        <f>IF(Y17&gt;=0.4,"🚀 SCALE",IF(Y17&gt;=0.25,"⚙ OPTIMIZE",IF(Y17&gt;=0,"⚠ REVIEW","🔴 KILL")))</f>
        <v/>
      </c>
    </row>
    <row r="18" ht="20" customHeight="1">
      <c r="A18" s="62" t="inlineStr">
        <is>
          <t>SKU-007</t>
        </is>
      </c>
      <c r="B18" s="63" t="inlineStr">
        <is>
          <t>Collagen Boosting Eye Cream 15ml</t>
        </is>
      </c>
      <c r="C18" s="62" t="inlineStr">
        <is>
          <t>Eye Care</t>
        </is>
      </c>
      <c r="D18" s="64" t="inlineStr">
        <is>
          <t>DTC</t>
        </is>
      </c>
      <c r="E18" s="51">
        <f>SUMIFS('08_Sales_Orders'!$E$3:$E$62,'08_Sales_Orders'!$B$3:$B$62,A18,'08_Sales_Orders'!$D$3:$D$62,D18)</f>
        <v/>
      </c>
      <c r="F18" s="52" t="n">
        <v>38.99</v>
      </c>
      <c r="G18" s="53">
        <f>IF(F18=0, 0, 1-(H18/F18))</f>
        <v/>
      </c>
      <c r="H18" s="54">
        <f>IF(E18=0, 0, I18/E18)</f>
        <v/>
      </c>
      <c r="I18" s="55">
        <f>SUMIFS('08_Sales_Orders'!$I$3:$I$62,'08_Sales_Orders'!$B$3:$B$62,A18,'08_Sales_Orders'!$D$3:$D$62,D18)</f>
        <v/>
      </c>
      <c r="J18" s="56">
        <f>SUMIFS('08_Sales_Orders'!$J$3:$J$62,'08_Sales_Orders'!$B$3:$B$62,A18,'08_Sales_Orders'!$D$3:$D$62,D18)</f>
        <v/>
      </c>
      <c r="K18" s="57">
        <f>SUMIFS('08_Sales_Orders'!$K$3:$K$62,'08_Sales_Orders'!$B$3:$B$62,A18,'08_Sales_Orders'!$D$3:$D$62,D18)</f>
        <v/>
      </c>
      <c r="L18" s="54">
        <f>SUMIFS('08_Sales_Orders'!$L$3:$L$62,'08_Sales_Orders'!$B$3:$B$62,A18,'08_Sales_Orders'!$D$3:$D$62,D18)</f>
        <v/>
      </c>
      <c r="M18" s="55">
        <f>SUMIFS('08_Sales_Orders'!$M$3:$M$62,'08_Sales_Orders'!$B$3:$B$62,A18,'08_Sales_Orders'!$D$3:$D$62,D18)</f>
        <v/>
      </c>
      <c r="N18" s="52" t="n">
        <v>7.2</v>
      </c>
      <c r="O18" s="52" t="n">
        <v>3</v>
      </c>
      <c r="P18" s="58">
        <f>'07_Channel_Costs'!B4*H18</f>
        <v/>
      </c>
      <c r="Q18" s="58">
        <f>'07_Channel_Costs'!C4</f>
        <v/>
      </c>
      <c r="R18" s="58">
        <f>'07_Channel_Costs'!D4</f>
        <v/>
      </c>
      <c r="S18" s="58">
        <f>'07_Channel_Costs'!E4*H18</f>
        <v/>
      </c>
      <c r="T18" s="58">
        <f>J18*H18</f>
        <v/>
      </c>
      <c r="U18" s="58">
        <f>J18*'07_Channel_Costs'!F4*N18</f>
        <v/>
      </c>
      <c r="V18" s="58">
        <f>J18*'07_Channel_Costs'!G4</f>
        <v/>
      </c>
      <c r="W18" s="59">
        <f>IF(K18=0,0,(E18*(N18+O18) + K18*(P18+Q18+R18+S18) + U18 + V18)/K18)</f>
        <v/>
      </c>
      <c r="X18" s="40">
        <f>IF(K18=0,0,(M18-(E18*(N18+O18) + K18*(P18+Q18+R18+S18) + U18 + V18))/K18)</f>
        <v/>
      </c>
      <c r="Y18" s="41">
        <f>IF(M18=0,"",(M18-(E18*(N18+O18) + K18*(P18+Q18+R18+S18) + U18 + V18))/M18)</f>
        <v/>
      </c>
      <c r="Z18" s="60">
        <f>M18-(E18*(N18+O18) + K18*(P18+Q18+R18+S18) + U18 + V18)</f>
        <v/>
      </c>
      <c r="AA18" s="61">
        <f>IF(Y18&gt;=0.4,"🚀 SCALE",IF(Y18&gt;=0.25,"⚙ OPTIMIZE",IF(Y18&gt;=0,"⚠ REVIEW","🔴 KILL")))</f>
        <v/>
      </c>
    </row>
    <row r="19" ht="20" customHeight="1">
      <c r="A19" s="48" t="inlineStr">
        <is>
          <t>SKU-008</t>
        </is>
      </c>
      <c r="B19" s="49" t="inlineStr">
        <is>
          <t>Rose Hip Facial Oil 30ml</t>
        </is>
      </c>
      <c r="C19" s="48" t="inlineStr">
        <is>
          <t>Facial Oil</t>
        </is>
      </c>
      <c r="D19" s="50" t="inlineStr">
        <is>
          <t>Amazon</t>
        </is>
      </c>
      <c r="E19" s="51">
        <f>SUMIFS('08_Sales_Orders'!$E$3:$E$62,'08_Sales_Orders'!$B$3:$B$62,A19,'08_Sales_Orders'!$D$3:$D$62,D19)</f>
        <v/>
      </c>
      <c r="F19" s="52" t="n">
        <v>35.99</v>
      </c>
      <c r="G19" s="53">
        <f>IF(F19=0, 0, 1-(H19/F19))</f>
        <v/>
      </c>
      <c r="H19" s="54">
        <f>IF(E19=0, 0, I19/E19)</f>
        <v/>
      </c>
      <c r="I19" s="55">
        <f>SUMIFS('08_Sales_Orders'!$I$3:$I$62,'08_Sales_Orders'!$B$3:$B$62,A19,'08_Sales_Orders'!$D$3:$D$62,D19)</f>
        <v/>
      </c>
      <c r="J19" s="56">
        <f>SUMIFS('08_Sales_Orders'!$J$3:$J$62,'08_Sales_Orders'!$B$3:$B$62,A19,'08_Sales_Orders'!$D$3:$D$62,D19)</f>
        <v/>
      </c>
      <c r="K19" s="57">
        <f>SUMIFS('08_Sales_Orders'!$K$3:$K$62,'08_Sales_Orders'!$B$3:$B$62,A19,'08_Sales_Orders'!$D$3:$D$62,D19)</f>
        <v/>
      </c>
      <c r="L19" s="54">
        <f>SUMIFS('08_Sales_Orders'!$L$3:$L$62,'08_Sales_Orders'!$B$3:$B$62,A19,'08_Sales_Orders'!$D$3:$D$62,D19)</f>
        <v/>
      </c>
      <c r="M19" s="55">
        <f>SUMIFS('08_Sales_Orders'!$M$3:$M$62,'08_Sales_Orders'!$B$3:$B$62,A19,'08_Sales_Orders'!$D$3:$D$62,D19)</f>
        <v/>
      </c>
      <c r="N19" s="52" t="n">
        <v>6.8</v>
      </c>
      <c r="O19" s="52" t="n">
        <v>2.9</v>
      </c>
      <c r="P19" s="58">
        <f>'07_Channel_Costs'!B3*H19</f>
        <v/>
      </c>
      <c r="Q19" s="58">
        <f>'07_Channel_Costs'!C3</f>
        <v/>
      </c>
      <c r="R19" s="58">
        <f>'07_Channel_Costs'!D3</f>
        <v/>
      </c>
      <c r="S19" s="58">
        <f>'07_Channel_Costs'!E3*H19</f>
        <v/>
      </c>
      <c r="T19" s="58">
        <f>J19*H19</f>
        <v/>
      </c>
      <c r="U19" s="58">
        <f>J19*'07_Channel_Costs'!F3*N19</f>
        <v/>
      </c>
      <c r="V19" s="58">
        <f>J19*'07_Channel_Costs'!G3</f>
        <v/>
      </c>
      <c r="W19" s="59">
        <f>IF(K19=0,0,(E19*(N19+O19) + K19*(P19+Q19+R19+S19) + U19 + V19)/K19)</f>
        <v/>
      </c>
      <c r="X19" s="40">
        <f>IF(K19=0,0,(M19-(E19*(N19+O19) + K19*(P19+Q19+R19+S19) + U19 + V19))/K19)</f>
        <v/>
      </c>
      <c r="Y19" s="41">
        <f>IF(M19=0,"",(M19-(E19*(N19+O19) + K19*(P19+Q19+R19+S19) + U19 + V19))/M19)</f>
        <v/>
      </c>
      <c r="Z19" s="60">
        <f>M19-(E19*(N19+O19) + K19*(P19+Q19+R19+S19) + U19 + V19)</f>
        <v/>
      </c>
      <c r="AA19" s="61">
        <f>IF(Y19&gt;=0.4,"🚀 SCALE",IF(Y19&gt;=0.25,"⚙ OPTIMIZE",IF(Y19&gt;=0,"⚠ REVIEW","🔴 KILL")))</f>
        <v/>
      </c>
    </row>
    <row r="20" ht="20" customHeight="1">
      <c r="A20" s="62" t="inlineStr">
        <is>
          <t>SKU-008</t>
        </is>
      </c>
      <c r="B20" s="63" t="inlineStr">
        <is>
          <t>Rose Hip Facial Oil 30ml</t>
        </is>
      </c>
      <c r="C20" s="62" t="inlineStr">
        <is>
          <t>Facial Oil</t>
        </is>
      </c>
      <c r="D20" s="64" t="inlineStr">
        <is>
          <t>DTC</t>
        </is>
      </c>
      <c r="E20" s="51">
        <f>SUMIFS('08_Sales_Orders'!$E$3:$E$62,'08_Sales_Orders'!$B$3:$B$62,A20,'08_Sales_Orders'!$D$3:$D$62,D20)</f>
        <v/>
      </c>
      <c r="F20" s="52" t="n">
        <v>35.99</v>
      </c>
      <c r="G20" s="53">
        <f>IF(F20=0, 0, 1-(H20/F20))</f>
        <v/>
      </c>
      <c r="H20" s="54">
        <f>IF(E20=0, 0, I20/E20)</f>
        <v/>
      </c>
      <c r="I20" s="55">
        <f>SUMIFS('08_Sales_Orders'!$I$3:$I$62,'08_Sales_Orders'!$B$3:$B$62,A20,'08_Sales_Orders'!$D$3:$D$62,D20)</f>
        <v/>
      </c>
      <c r="J20" s="56">
        <f>SUMIFS('08_Sales_Orders'!$J$3:$J$62,'08_Sales_Orders'!$B$3:$B$62,A20,'08_Sales_Orders'!$D$3:$D$62,D20)</f>
        <v/>
      </c>
      <c r="K20" s="57">
        <f>SUMIFS('08_Sales_Orders'!$K$3:$K$62,'08_Sales_Orders'!$B$3:$B$62,A20,'08_Sales_Orders'!$D$3:$D$62,D20)</f>
        <v/>
      </c>
      <c r="L20" s="54">
        <f>SUMIFS('08_Sales_Orders'!$L$3:$L$62,'08_Sales_Orders'!$B$3:$B$62,A20,'08_Sales_Orders'!$D$3:$D$62,D20)</f>
        <v/>
      </c>
      <c r="M20" s="55">
        <f>SUMIFS('08_Sales_Orders'!$M$3:$M$62,'08_Sales_Orders'!$B$3:$B$62,A20,'08_Sales_Orders'!$D$3:$D$62,D20)</f>
        <v/>
      </c>
      <c r="N20" s="52" t="n">
        <v>6.8</v>
      </c>
      <c r="O20" s="52" t="n">
        <v>2.9</v>
      </c>
      <c r="P20" s="58">
        <f>'07_Channel_Costs'!B4*H20</f>
        <v/>
      </c>
      <c r="Q20" s="58">
        <f>'07_Channel_Costs'!C4</f>
        <v/>
      </c>
      <c r="R20" s="58">
        <f>'07_Channel_Costs'!D4</f>
        <v/>
      </c>
      <c r="S20" s="58">
        <f>'07_Channel_Costs'!E4*H20</f>
        <v/>
      </c>
      <c r="T20" s="58">
        <f>J20*H20</f>
        <v/>
      </c>
      <c r="U20" s="58">
        <f>J20*'07_Channel_Costs'!F4*N20</f>
        <v/>
      </c>
      <c r="V20" s="58">
        <f>J20*'07_Channel_Costs'!G4</f>
        <v/>
      </c>
      <c r="W20" s="59">
        <f>IF(K20=0,0,(E20*(N20+O20) + K20*(P20+Q20+R20+S20) + U20 + V20)/K20)</f>
        <v/>
      </c>
      <c r="X20" s="40">
        <f>IF(K20=0,0,(M20-(E20*(N20+O20) + K20*(P20+Q20+R20+S20) + U20 + V20))/K20)</f>
        <v/>
      </c>
      <c r="Y20" s="41">
        <f>IF(M20=0,"",(M20-(E20*(N20+O20) + K20*(P20+Q20+R20+S20) + U20 + V20))/M20)</f>
        <v/>
      </c>
      <c r="Z20" s="60">
        <f>M20-(E20*(N20+O20) + K20*(P20+Q20+R20+S20) + U20 + V20)</f>
        <v/>
      </c>
      <c r="AA20" s="61">
        <f>IF(Y20&gt;=0.4,"🚀 SCALE",IF(Y20&gt;=0.25,"⚙ OPTIMIZE",IF(Y20&gt;=0,"⚠ REVIEW","🔴 KILL")))</f>
        <v/>
      </c>
    </row>
    <row r="21" ht="20" customHeight="1">
      <c r="A21" s="48" t="inlineStr">
        <is>
          <t>SKU-009</t>
        </is>
      </c>
      <c r="B21" s="49" t="inlineStr">
        <is>
          <t>Ceramide Barrier Repair Cream 50ml</t>
        </is>
      </c>
      <c r="C21" s="48" t="inlineStr">
        <is>
          <t>Cream</t>
        </is>
      </c>
      <c r="D21" s="50" t="inlineStr">
        <is>
          <t>Amazon</t>
        </is>
      </c>
      <c r="E21" s="51">
        <f>SUMIFS('08_Sales_Orders'!$E$3:$E$62,'08_Sales_Orders'!$B$3:$B$62,A21,'08_Sales_Orders'!$D$3:$D$62,D21)</f>
        <v/>
      </c>
      <c r="F21" s="52" t="n">
        <v>29.99</v>
      </c>
      <c r="G21" s="53">
        <f>IF(F21=0, 0, 1-(H21/F21))</f>
        <v/>
      </c>
      <c r="H21" s="54">
        <f>IF(E21=0, 0, I21/E21)</f>
        <v/>
      </c>
      <c r="I21" s="55">
        <f>SUMIFS('08_Sales_Orders'!$I$3:$I$62,'08_Sales_Orders'!$B$3:$B$62,A21,'08_Sales_Orders'!$D$3:$D$62,D21)</f>
        <v/>
      </c>
      <c r="J21" s="56">
        <f>SUMIFS('08_Sales_Orders'!$J$3:$J$62,'08_Sales_Orders'!$B$3:$B$62,A21,'08_Sales_Orders'!$D$3:$D$62,D21)</f>
        <v/>
      </c>
      <c r="K21" s="57">
        <f>SUMIFS('08_Sales_Orders'!$K$3:$K$62,'08_Sales_Orders'!$B$3:$B$62,A21,'08_Sales_Orders'!$D$3:$D$62,D21)</f>
        <v/>
      </c>
      <c r="L21" s="54">
        <f>SUMIFS('08_Sales_Orders'!$L$3:$L$62,'08_Sales_Orders'!$B$3:$B$62,A21,'08_Sales_Orders'!$D$3:$D$62,D21)</f>
        <v/>
      </c>
      <c r="M21" s="55">
        <f>SUMIFS('08_Sales_Orders'!$M$3:$M$62,'08_Sales_Orders'!$B$3:$B$62,A21,'08_Sales_Orders'!$D$3:$D$62,D21)</f>
        <v/>
      </c>
      <c r="N21" s="52" t="n">
        <v>5.6</v>
      </c>
      <c r="O21" s="52" t="n">
        <v>2.6</v>
      </c>
      <c r="P21" s="58">
        <f>'07_Channel_Costs'!B3*H21</f>
        <v/>
      </c>
      <c r="Q21" s="58">
        <f>'07_Channel_Costs'!C3</f>
        <v/>
      </c>
      <c r="R21" s="58">
        <f>'07_Channel_Costs'!D3</f>
        <v/>
      </c>
      <c r="S21" s="58">
        <f>'07_Channel_Costs'!E3*H21</f>
        <v/>
      </c>
      <c r="T21" s="58">
        <f>J21*H21</f>
        <v/>
      </c>
      <c r="U21" s="58">
        <f>J21*'07_Channel_Costs'!F3*N21</f>
        <v/>
      </c>
      <c r="V21" s="58">
        <f>J21*'07_Channel_Costs'!G3</f>
        <v/>
      </c>
      <c r="W21" s="59">
        <f>IF(K21=0,0,(E21*(N21+O21) + K21*(P21+Q21+R21+S21) + U21 + V21)/K21)</f>
        <v/>
      </c>
      <c r="X21" s="40">
        <f>IF(K21=0,0,(M21-(E21*(N21+O21) + K21*(P21+Q21+R21+S21) + U21 + V21))/K21)</f>
        <v/>
      </c>
      <c r="Y21" s="41">
        <f>IF(M21=0,"",(M21-(E21*(N21+O21) + K21*(P21+Q21+R21+S21) + U21 + V21))/M21)</f>
        <v/>
      </c>
      <c r="Z21" s="60">
        <f>M21-(E21*(N21+O21) + K21*(P21+Q21+R21+S21) + U21 + V21)</f>
        <v/>
      </c>
      <c r="AA21" s="61">
        <f>IF(Y21&gt;=0.4,"🚀 SCALE",IF(Y21&gt;=0.25,"⚙ OPTIMIZE",IF(Y21&gt;=0,"⚠ REVIEW","🔴 KILL")))</f>
        <v/>
      </c>
    </row>
    <row r="22" ht="20" customHeight="1">
      <c r="A22" s="62" t="inlineStr">
        <is>
          <t>SKU-009</t>
        </is>
      </c>
      <c r="B22" s="63" t="inlineStr">
        <is>
          <t>Ceramide Barrier Repair Cream 50ml</t>
        </is>
      </c>
      <c r="C22" s="62" t="inlineStr">
        <is>
          <t>Cream</t>
        </is>
      </c>
      <c r="D22" s="64" t="inlineStr">
        <is>
          <t>DTC</t>
        </is>
      </c>
      <c r="E22" s="51">
        <f>SUMIFS('08_Sales_Orders'!$E$3:$E$62,'08_Sales_Orders'!$B$3:$B$62,A22,'08_Sales_Orders'!$D$3:$D$62,D22)</f>
        <v/>
      </c>
      <c r="F22" s="52" t="n">
        <v>29.99</v>
      </c>
      <c r="G22" s="53">
        <f>IF(F22=0, 0, 1-(H22/F22))</f>
        <v/>
      </c>
      <c r="H22" s="54">
        <f>IF(E22=0, 0, I22/E22)</f>
        <v/>
      </c>
      <c r="I22" s="55">
        <f>SUMIFS('08_Sales_Orders'!$I$3:$I$62,'08_Sales_Orders'!$B$3:$B$62,A22,'08_Sales_Orders'!$D$3:$D$62,D22)</f>
        <v/>
      </c>
      <c r="J22" s="56">
        <f>SUMIFS('08_Sales_Orders'!$J$3:$J$62,'08_Sales_Orders'!$B$3:$B$62,A22,'08_Sales_Orders'!$D$3:$D$62,D22)</f>
        <v/>
      </c>
      <c r="K22" s="57">
        <f>SUMIFS('08_Sales_Orders'!$K$3:$K$62,'08_Sales_Orders'!$B$3:$B$62,A22,'08_Sales_Orders'!$D$3:$D$62,D22)</f>
        <v/>
      </c>
      <c r="L22" s="54">
        <f>SUMIFS('08_Sales_Orders'!$L$3:$L$62,'08_Sales_Orders'!$B$3:$B$62,A22,'08_Sales_Orders'!$D$3:$D$62,D22)</f>
        <v/>
      </c>
      <c r="M22" s="55">
        <f>SUMIFS('08_Sales_Orders'!$M$3:$M$62,'08_Sales_Orders'!$B$3:$B$62,A22,'08_Sales_Orders'!$D$3:$D$62,D22)</f>
        <v/>
      </c>
      <c r="N22" s="52" t="n">
        <v>5.6</v>
      </c>
      <c r="O22" s="52" t="n">
        <v>2.6</v>
      </c>
      <c r="P22" s="58">
        <f>'07_Channel_Costs'!B4*H22</f>
        <v/>
      </c>
      <c r="Q22" s="58">
        <f>'07_Channel_Costs'!C4</f>
        <v/>
      </c>
      <c r="R22" s="58">
        <f>'07_Channel_Costs'!D4</f>
        <v/>
      </c>
      <c r="S22" s="58">
        <f>'07_Channel_Costs'!E4*H22</f>
        <v/>
      </c>
      <c r="T22" s="58">
        <f>J22*H22</f>
        <v/>
      </c>
      <c r="U22" s="58">
        <f>J22*'07_Channel_Costs'!F4*N22</f>
        <v/>
      </c>
      <c r="V22" s="58">
        <f>J22*'07_Channel_Costs'!G4</f>
        <v/>
      </c>
      <c r="W22" s="59">
        <f>IF(K22=0,0,(E22*(N22+O22) + K22*(P22+Q22+R22+S22) + U22 + V22)/K22)</f>
        <v/>
      </c>
      <c r="X22" s="40">
        <f>IF(K22=0,0,(M22-(E22*(N22+O22) + K22*(P22+Q22+R22+S22) + U22 + V22))/K22)</f>
        <v/>
      </c>
      <c r="Y22" s="41">
        <f>IF(M22=0,"",(M22-(E22*(N22+O22) + K22*(P22+Q22+R22+S22) + U22 + V22))/M22)</f>
        <v/>
      </c>
      <c r="Z22" s="60">
        <f>M22-(E22*(N22+O22) + K22*(P22+Q22+R22+S22) + U22 + V22)</f>
        <v/>
      </c>
      <c r="AA22" s="61">
        <f>IF(Y22&gt;=0.4,"🚀 SCALE",IF(Y22&gt;=0.25,"⚙ OPTIMIZE",IF(Y22&gt;=0,"⚠ REVIEW","🔴 KILL")))</f>
        <v/>
      </c>
    </row>
    <row r="23" ht="20" customHeight="1">
      <c r="A23" s="48" t="inlineStr">
        <is>
          <t>SKU-010</t>
        </is>
      </c>
      <c r="B23" s="49" t="inlineStr">
        <is>
          <t>Micellar Cleansing Water 250ml</t>
        </is>
      </c>
      <c r="C23" s="48" t="inlineStr">
        <is>
          <t>Cleanser</t>
        </is>
      </c>
      <c r="D23" s="50" t="inlineStr">
        <is>
          <t>Amazon</t>
        </is>
      </c>
      <c r="E23" s="51">
        <f>SUMIFS('08_Sales_Orders'!$E$3:$E$62,'08_Sales_Orders'!$B$3:$B$62,A23,'08_Sales_Orders'!$D$3:$D$62,D23)</f>
        <v/>
      </c>
      <c r="F23" s="52" t="n">
        <v>18.99</v>
      </c>
      <c r="G23" s="53">
        <f>IF(F23=0, 0, 1-(H23/F23))</f>
        <v/>
      </c>
      <c r="H23" s="54">
        <f>IF(E23=0, 0, I23/E23)</f>
        <v/>
      </c>
      <c r="I23" s="55">
        <f>SUMIFS('08_Sales_Orders'!$I$3:$I$62,'08_Sales_Orders'!$B$3:$B$62,A23,'08_Sales_Orders'!$D$3:$D$62,D23)</f>
        <v/>
      </c>
      <c r="J23" s="56">
        <f>SUMIFS('08_Sales_Orders'!$J$3:$J$62,'08_Sales_Orders'!$B$3:$B$62,A23,'08_Sales_Orders'!$D$3:$D$62,D23)</f>
        <v/>
      </c>
      <c r="K23" s="57">
        <f>SUMIFS('08_Sales_Orders'!$K$3:$K$62,'08_Sales_Orders'!$B$3:$B$62,A23,'08_Sales_Orders'!$D$3:$D$62,D23)</f>
        <v/>
      </c>
      <c r="L23" s="54">
        <f>SUMIFS('08_Sales_Orders'!$L$3:$L$62,'08_Sales_Orders'!$B$3:$B$62,A23,'08_Sales_Orders'!$D$3:$D$62,D23)</f>
        <v/>
      </c>
      <c r="M23" s="55">
        <f>SUMIFS('08_Sales_Orders'!$M$3:$M$62,'08_Sales_Orders'!$B$3:$B$62,A23,'08_Sales_Orders'!$D$3:$D$62,D23)</f>
        <v/>
      </c>
      <c r="N23" s="52" t="n">
        <v>3.2</v>
      </c>
      <c r="O23" s="52" t="n">
        <v>2.05</v>
      </c>
      <c r="P23" s="58">
        <f>'07_Channel_Costs'!B3*H23</f>
        <v/>
      </c>
      <c r="Q23" s="58">
        <f>'07_Channel_Costs'!C3</f>
        <v/>
      </c>
      <c r="R23" s="58">
        <f>'07_Channel_Costs'!D3</f>
        <v/>
      </c>
      <c r="S23" s="58">
        <f>'07_Channel_Costs'!E3*H23</f>
        <v/>
      </c>
      <c r="T23" s="58">
        <f>J23*H23</f>
        <v/>
      </c>
      <c r="U23" s="58">
        <f>J23*'07_Channel_Costs'!F3*N23</f>
        <v/>
      </c>
      <c r="V23" s="58">
        <f>J23*'07_Channel_Costs'!G3</f>
        <v/>
      </c>
      <c r="W23" s="59">
        <f>IF(K23=0,0,(E23*(N23+O23) + K23*(P23+Q23+R23+S23) + U23 + V23)/K23)</f>
        <v/>
      </c>
      <c r="X23" s="40">
        <f>IF(K23=0,0,(M23-(E23*(N23+O23) + K23*(P23+Q23+R23+S23) + U23 + V23))/K23)</f>
        <v/>
      </c>
      <c r="Y23" s="41">
        <f>IF(M23=0,"",(M23-(E23*(N23+O23) + K23*(P23+Q23+R23+S23) + U23 + V23))/M23)</f>
        <v/>
      </c>
      <c r="Z23" s="60">
        <f>M23-(E23*(N23+O23) + K23*(P23+Q23+R23+S23) + U23 + V23)</f>
        <v/>
      </c>
      <c r="AA23" s="61">
        <f>IF(Y23&gt;=0.4,"🚀 SCALE",IF(Y23&gt;=0.25,"⚙ OPTIMIZE",IF(Y23&gt;=0,"⚠ REVIEW","🔴 KILL")))</f>
        <v/>
      </c>
    </row>
    <row r="24" ht="20" customHeight="1">
      <c r="A24" s="62" t="inlineStr">
        <is>
          <t>SKU-010</t>
        </is>
      </c>
      <c r="B24" s="63" t="inlineStr">
        <is>
          <t>Micellar Cleansing Water 250ml</t>
        </is>
      </c>
      <c r="C24" s="62" t="inlineStr">
        <is>
          <t>Cleanser</t>
        </is>
      </c>
      <c r="D24" s="64" t="inlineStr">
        <is>
          <t>DTC</t>
        </is>
      </c>
      <c r="E24" s="51">
        <f>SUMIFS('08_Sales_Orders'!$E$3:$E$62,'08_Sales_Orders'!$B$3:$B$62,A24,'08_Sales_Orders'!$D$3:$D$62,D24)</f>
        <v/>
      </c>
      <c r="F24" s="52" t="n">
        <v>18.99</v>
      </c>
      <c r="G24" s="53">
        <f>IF(F24=0, 0, 1-(H24/F24))</f>
        <v/>
      </c>
      <c r="H24" s="54">
        <f>IF(E24=0, 0, I24/E24)</f>
        <v/>
      </c>
      <c r="I24" s="55">
        <f>SUMIFS('08_Sales_Orders'!$I$3:$I$62,'08_Sales_Orders'!$B$3:$B$62,A24,'08_Sales_Orders'!$D$3:$D$62,D24)</f>
        <v/>
      </c>
      <c r="J24" s="56">
        <f>SUMIFS('08_Sales_Orders'!$J$3:$J$62,'08_Sales_Orders'!$B$3:$B$62,A24,'08_Sales_Orders'!$D$3:$D$62,D24)</f>
        <v/>
      </c>
      <c r="K24" s="57">
        <f>SUMIFS('08_Sales_Orders'!$K$3:$K$62,'08_Sales_Orders'!$B$3:$B$62,A24,'08_Sales_Orders'!$D$3:$D$62,D24)</f>
        <v/>
      </c>
      <c r="L24" s="54">
        <f>SUMIFS('08_Sales_Orders'!$L$3:$L$62,'08_Sales_Orders'!$B$3:$B$62,A24,'08_Sales_Orders'!$D$3:$D$62,D24)</f>
        <v/>
      </c>
      <c r="M24" s="55">
        <f>SUMIFS('08_Sales_Orders'!$M$3:$M$62,'08_Sales_Orders'!$B$3:$B$62,A24,'08_Sales_Orders'!$D$3:$D$62,D24)</f>
        <v/>
      </c>
      <c r="N24" s="52" t="n">
        <v>3.2</v>
      </c>
      <c r="O24" s="52" t="n">
        <v>2.05</v>
      </c>
      <c r="P24" s="58">
        <f>'07_Channel_Costs'!B4*H24</f>
        <v/>
      </c>
      <c r="Q24" s="58">
        <f>'07_Channel_Costs'!C4</f>
        <v/>
      </c>
      <c r="R24" s="58">
        <f>'07_Channel_Costs'!D4</f>
        <v/>
      </c>
      <c r="S24" s="58">
        <f>'07_Channel_Costs'!E4*H24</f>
        <v/>
      </c>
      <c r="T24" s="58">
        <f>J24*H24</f>
        <v/>
      </c>
      <c r="U24" s="58">
        <f>J24*'07_Channel_Costs'!F4*N24</f>
        <v/>
      </c>
      <c r="V24" s="58">
        <f>J24*'07_Channel_Costs'!G4</f>
        <v/>
      </c>
      <c r="W24" s="59">
        <f>IF(K24=0,0,(E24*(N24+O24) + K24*(P24+Q24+R24+S24) + U24 + V24)/K24)</f>
        <v/>
      </c>
      <c r="X24" s="40">
        <f>IF(K24=0,0,(M24-(E24*(N24+O24) + K24*(P24+Q24+R24+S24) + U24 + V24))/K24)</f>
        <v/>
      </c>
      <c r="Y24" s="41">
        <f>IF(M24=0,"",(M24-(E24*(N24+O24) + K24*(P24+Q24+R24+S24) + U24 + V24))/M24)</f>
        <v/>
      </c>
      <c r="Z24" s="60">
        <f>M24-(E24*(N24+O24) + K24*(P24+Q24+R24+S24) + U24 + V24)</f>
        <v/>
      </c>
      <c r="AA24" s="61">
        <f>IF(Y24&gt;=0.4,"🚀 SCALE",IF(Y24&gt;=0.25,"⚙ OPTIMIZE",IF(Y24&gt;=0,"⚠ REVIEW","🔴 KILL")))</f>
        <v/>
      </c>
    </row>
    <row r="25" ht="20" customHeight="1">
      <c r="A25" s="48" t="inlineStr">
        <is>
          <t>SKU-011</t>
        </is>
      </c>
      <c r="B25" s="49" t="inlineStr">
        <is>
          <t>Peptide Firming Serum 30ml</t>
        </is>
      </c>
      <c r="C25" s="48" t="inlineStr">
        <is>
          <t>Serum</t>
        </is>
      </c>
      <c r="D25" s="50" t="inlineStr">
        <is>
          <t>Amazon</t>
        </is>
      </c>
      <c r="E25" s="51">
        <f>SUMIFS('08_Sales_Orders'!$E$3:$E$62,'08_Sales_Orders'!$B$3:$B$62,A25,'08_Sales_Orders'!$D$3:$D$62,D25)</f>
        <v/>
      </c>
      <c r="F25" s="52" t="n">
        <v>44.99</v>
      </c>
      <c r="G25" s="53">
        <f>IF(F25=0, 0, 1-(H25/F25))</f>
        <v/>
      </c>
      <c r="H25" s="54">
        <f>IF(E25=0, 0, I25/E25)</f>
        <v/>
      </c>
      <c r="I25" s="55">
        <f>SUMIFS('08_Sales_Orders'!$I$3:$I$62,'08_Sales_Orders'!$B$3:$B$62,A25,'08_Sales_Orders'!$D$3:$D$62,D25)</f>
        <v/>
      </c>
      <c r="J25" s="56">
        <f>SUMIFS('08_Sales_Orders'!$J$3:$J$62,'08_Sales_Orders'!$B$3:$B$62,A25,'08_Sales_Orders'!$D$3:$D$62,D25)</f>
        <v/>
      </c>
      <c r="K25" s="57">
        <f>SUMIFS('08_Sales_Orders'!$K$3:$K$62,'08_Sales_Orders'!$B$3:$B$62,A25,'08_Sales_Orders'!$D$3:$D$62,D25)</f>
        <v/>
      </c>
      <c r="L25" s="54">
        <f>SUMIFS('08_Sales_Orders'!$L$3:$L$62,'08_Sales_Orders'!$B$3:$B$62,A25,'08_Sales_Orders'!$D$3:$D$62,D25)</f>
        <v/>
      </c>
      <c r="M25" s="55">
        <f>SUMIFS('08_Sales_Orders'!$M$3:$M$62,'08_Sales_Orders'!$B$3:$B$62,A25,'08_Sales_Orders'!$D$3:$D$62,D25)</f>
        <v/>
      </c>
      <c r="N25" s="52" t="n">
        <v>9.1</v>
      </c>
      <c r="O25" s="52" t="n">
        <v>3.15</v>
      </c>
      <c r="P25" s="58">
        <f>'07_Channel_Costs'!B3*H25</f>
        <v/>
      </c>
      <c r="Q25" s="58">
        <f>'07_Channel_Costs'!C3</f>
        <v/>
      </c>
      <c r="R25" s="58">
        <f>'07_Channel_Costs'!D3</f>
        <v/>
      </c>
      <c r="S25" s="58">
        <f>'07_Channel_Costs'!E3*H25</f>
        <v/>
      </c>
      <c r="T25" s="58">
        <f>J25*H25</f>
        <v/>
      </c>
      <c r="U25" s="58">
        <f>J25*'07_Channel_Costs'!F3*N25</f>
        <v/>
      </c>
      <c r="V25" s="58">
        <f>J25*'07_Channel_Costs'!G3</f>
        <v/>
      </c>
      <c r="W25" s="59">
        <f>IF(K25=0,0,(E25*(N25+O25) + K25*(P25+Q25+R25+S25) + U25 + V25)/K25)</f>
        <v/>
      </c>
      <c r="X25" s="40">
        <f>IF(K25=0,0,(M25-(E25*(N25+O25) + K25*(P25+Q25+R25+S25) + U25 + V25))/K25)</f>
        <v/>
      </c>
      <c r="Y25" s="41">
        <f>IF(M25=0,"",(M25-(E25*(N25+O25) + K25*(P25+Q25+R25+S25) + U25 + V25))/M25)</f>
        <v/>
      </c>
      <c r="Z25" s="60">
        <f>M25-(E25*(N25+O25) + K25*(P25+Q25+R25+S25) + U25 + V25)</f>
        <v/>
      </c>
      <c r="AA25" s="61">
        <f>IF(Y25&gt;=0.4,"🚀 SCALE",IF(Y25&gt;=0.25,"⚙ OPTIMIZE",IF(Y25&gt;=0,"⚠ REVIEW","🔴 KILL")))</f>
        <v/>
      </c>
    </row>
    <row r="26" ht="20" customHeight="1">
      <c r="A26" s="62" t="inlineStr">
        <is>
          <t>SKU-011</t>
        </is>
      </c>
      <c r="B26" s="63" t="inlineStr">
        <is>
          <t>Peptide Firming Serum 30ml</t>
        </is>
      </c>
      <c r="C26" s="62" t="inlineStr">
        <is>
          <t>Serum</t>
        </is>
      </c>
      <c r="D26" s="64" t="inlineStr">
        <is>
          <t>DTC</t>
        </is>
      </c>
      <c r="E26" s="51">
        <f>SUMIFS('08_Sales_Orders'!$E$3:$E$62,'08_Sales_Orders'!$B$3:$B$62,A26,'08_Sales_Orders'!$D$3:$D$62,D26)</f>
        <v/>
      </c>
      <c r="F26" s="52" t="n">
        <v>44.99</v>
      </c>
      <c r="G26" s="53">
        <f>IF(F26=0, 0, 1-(H26/F26))</f>
        <v/>
      </c>
      <c r="H26" s="54">
        <f>IF(E26=0, 0, I26/E26)</f>
        <v/>
      </c>
      <c r="I26" s="55">
        <f>SUMIFS('08_Sales_Orders'!$I$3:$I$62,'08_Sales_Orders'!$B$3:$B$62,A26,'08_Sales_Orders'!$D$3:$D$62,D26)</f>
        <v/>
      </c>
      <c r="J26" s="56">
        <f>SUMIFS('08_Sales_Orders'!$J$3:$J$62,'08_Sales_Orders'!$B$3:$B$62,A26,'08_Sales_Orders'!$D$3:$D$62,D26)</f>
        <v/>
      </c>
      <c r="K26" s="57">
        <f>SUMIFS('08_Sales_Orders'!$K$3:$K$62,'08_Sales_Orders'!$B$3:$B$62,A26,'08_Sales_Orders'!$D$3:$D$62,D26)</f>
        <v/>
      </c>
      <c r="L26" s="54">
        <f>SUMIFS('08_Sales_Orders'!$L$3:$L$62,'08_Sales_Orders'!$B$3:$B$62,A26,'08_Sales_Orders'!$D$3:$D$62,D26)</f>
        <v/>
      </c>
      <c r="M26" s="55">
        <f>SUMIFS('08_Sales_Orders'!$M$3:$M$62,'08_Sales_Orders'!$B$3:$B$62,A26,'08_Sales_Orders'!$D$3:$D$62,D26)</f>
        <v/>
      </c>
      <c r="N26" s="52" t="n">
        <v>9.1</v>
      </c>
      <c r="O26" s="52" t="n">
        <v>3.15</v>
      </c>
      <c r="P26" s="58">
        <f>'07_Channel_Costs'!B4*H26</f>
        <v/>
      </c>
      <c r="Q26" s="58">
        <f>'07_Channel_Costs'!C4</f>
        <v/>
      </c>
      <c r="R26" s="58">
        <f>'07_Channel_Costs'!D4</f>
        <v/>
      </c>
      <c r="S26" s="58">
        <f>'07_Channel_Costs'!E4*H26</f>
        <v/>
      </c>
      <c r="T26" s="58">
        <f>J26*H26</f>
        <v/>
      </c>
      <c r="U26" s="58">
        <f>J26*'07_Channel_Costs'!F4*N26</f>
        <v/>
      </c>
      <c r="V26" s="58">
        <f>J26*'07_Channel_Costs'!G4</f>
        <v/>
      </c>
      <c r="W26" s="59">
        <f>IF(K26=0,0,(E26*(N26+O26) + K26*(P26+Q26+R26+S26) + U26 + V26)/K26)</f>
        <v/>
      </c>
      <c r="X26" s="40">
        <f>IF(K26=0,0,(M26-(E26*(N26+O26) + K26*(P26+Q26+R26+S26) + U26 + V26))/K26)</f>
        <v/>
      </c>
      <c r="Y26" s="41">
        <f>IF(M26=0,"",(M26-(E26*(N26+O26) + K26*(P26+Q26+R26+S26) + U26 + V26))/M26)</f>
        <v/>
      </c>
      <c r="Z26" s="60">
        <f>M26-(E26*(N26+O26) + K26*(P26+Q26+R26+S26) + U26 + V26)</f>
        <v/>
      </c>
      <c r="AA26" s="61">
        <f>IF(Y26&gt;=0.4,"🚀 SCALE",IF(Y26&gt;=0.25,"⚙ OPTIMIZE",IF(Y26&gt;=0,"⚠ REVIEW","🔴 KILL")))</f>
        <v/>
      </c>
    </row>
    <row r="27" ht="20" customHeight="1">
      <c r="A27" s="48" t="inlineStr">
        <is>
          <t>SKU-012</t>
        </is>
      </c>
      <c r="B27" s="49" t="inlineStr">
        <is>
          <t>Gentle Foaming Cleanser 150ml</t>
        </is>
      </c>
      <c r="C27" s="48" t="inlineStr">
        <is>
          <t>Cleanser</t>
        </is>
      </c>
      <c r="D27" s="50" t="inlineStr">
        <is>
          <t>Amazon</t>
        </is>
      </c>
      <c r="E27" s="51">
        <f>SUMIFS('08_Sales_Orders'!$E$3:$E$62,'08_Sales_Orders'!$B$3:$B$62,A27,'08_Sales_Orders'!$D$3:$D$62,D27)</f>
        <v/>
      </c>
      <c r="F27" s="52" t="n">
        <v>19.99</v>
      </c>
      <c r="G27" s="53">
        <f>IF(F27=0, 0, 1-(H27/F27))</f>
        <v/>
      </c>
      <c r="H27" s="54">
        <f>IF(E27=0, 0, I27/E27)</f>
        <v/>
      </c>
      <c r="I27" s="55">
        <f>SUMIFS('08_Sales_Orders'!$I$3:$I$62,'08_Sales_Orders'!$B$3:$B$62,A27,'08_Sales_Orders'!$D$3:$D$62,D27)</f>
        <v/>
      </c>
      <c r="J27" s="56">
        <f>SUMIFS('08_Sales_Orders'!$J$3:$J$62,'08_Sales_Orders'!$B$3:$B$62,A27,'08_Sales_Orders'!$D$3:$D$62,D27)</f>
        <v/>
      </c>
      <c r="K27" s="57">
        <f>SUMIFS('08_Sales_Orders'!$K$3:$K$62,'08_Sales_Orders'!$B$3:$B$62,A27,'08_Sales_Orders'!$D$3:$D$62,D27)</f>
        <v/>
      </c>
      <c r="L27" s="54">
        <f>SUMIFS('08_Sales_Orders'!$L$3:$L$62,'08_Sales_Orders'!$B$3:$B$62,A27,'08_Sales_Orders'!$D$3:$D$62,D27)</f>
        <v/>
      </c>
      <c r="M27" s="55">
        <f>SUMIFS('08_Sales_Orders'!$M$3:$M$62,'08_Sales_Orders'!$B$3:$B$62,A27,'08_Sales_Orders'!$D$3:$D$62,D27)</f>
        <v/>
      </c>
      <c r="N27" s="52" t="n">
        <v>3.5</v>
      </c>
      <c r="O27" s="52" t="n">
        <v>2.15</v>
      </c>
      <c r="P27" s="58">
        <f>'07_Channel_Costs'!B3*H27</f>
        <v/>
      </c>
      <c r="Q27" s="58">
        <f>'07_Channel_Costs'!C3</f>
        <v/>
      </c>
      <c r="R27" s="58">
        <f>'07_Channel_Costs'!D3</f>
        <v/>
      </c>
      <c r="S27" s="58">
        <f>'07_Channel_Costs'!E3*H27</f>
        <v/>
      </c>
      <c r="T27" s="58">
        <f>J27*H27</f>
        <v/>
      </c>
      <c r="U27" s="58">
        <f>J27*'07_Channel_Costs'!F3*N27</f>
        <v/>
      </c>
      <c r="V27" s="58">
        <f>J27*'07_Channel_Costs'!G3</f>
        <v/>
      </c>
      <c r="W27" s="59">
        <f>IF(K27=0,0,(E27*(N27+O27) + K27*(P27+Q27+R27+S27) + U27 + V27)/K27)</f>
        <v/>
      </c>
      <c r="X27" s="40">
        <f>IF(K27=0,0,(M27-(E27*(N27+O27) + K27*(P27+Q27+R27+S27) + U27 + V27))/K27)</f>
        <v/>
      </c>
      <c r="Y27" s="41">
        <f>IF(M27=0,"",(M27-(E27*(N27+O27) + K27*(P27+Q27+R27+S27) + U27 + V27))/M27)</f>
        <v/>
      </c>
      <c r="Z27" s="60">
        <f>M27-(E27*(N27+O27) + K27*(P27+Q27+R27+S27) + U27 + V27)</f>
        <v/>
      </c>
      <c r="AA27" s="61">
        <f>IF(Y27&gt;=0.4,"🚀 SCALE",IF(Y27&gt;=0.25,"⚙ OPTIMIZE",IF(Y27&gt;=0,"⚠ REVIEW","🔴 KILL")))</f>
        <v/>
      </c>
    </row>
    <row r="28" ht="20" customHeight="1">
      <c r="A28" s="62" t="inlineStr">
        <is>
          <t>SKU-012</t>
        </is>
      </c>
      <c r="B28" s="63" t="inlineStr">
        <is>
          <t>Gentle Foaming Cleanser 150ml</t>
        </is>
      </c>
      <c r="C28" s="62" t="inlineStr">
        <is>
          <t>Cleanser</t>
        </is>
      </c>
      <c r="D28" s="64" t="inlineStr">
        <is>
          <t>DTC</t>
        </is>
      </c>
      <c r="E28" s="51">
        <f>SUMIFS('08_Sales_Orders'!$E$3:$E$62,'08_Sales_Orders'!$B$3:$B$62,A28,'08_Sales_Orders'!$D$3:$D$62,D28)</f>
        <v/>
      </c>
      <c r="F28" s="52" t="n">
        <v>19.99</v>
      </c>
      <c r="G28" s="53">
        <f>IF(F28=0, 0, 1-(H28/F28))</f>
        <v/>
      </c>
      <c r="H28" s="54">
        <f>IF(E28=0, 0, I28/E28)</f>
        <v/>
      </c>
      <c r="I28" s="55">
        <f>SUMIFS('08_Sales_Orders'!$I$3:$I$62,'08_Sales_Orders'!$B$3:$B$62,A28,'08_Sales_Orders'!$D$3:$D$62,D28)</f>
        <v/>
      </c>
      <c r="J28" s="56">
        <f>SUMIFS('08_Sales_Orders'!$J$3:$J$62,'08_Sales_Orders'!$B$3:$B$62,A28,'08_Sales_Orders'!$D$3:$D$62,D28)</f>
        <v/>
      </c>
      <c r="K28" s="57">
        <f>SUMIFS('08_Sales_Orders'!$K$3:$K$62,'08_Sales_Orders'!$B$3:$B$62,A28,'08_Sales_Orders'!$D$3:$D$62,D28)</f>
        <v/>
      </c>
      <c r="L28" s="54">
        <f>SUMIFS('08_Sales_Orders'!$L$3:$L$62,'08_Sales_Orders'!$B$3:$B$62,A28,'08_Sales_Orders'!$D$3:$D$62,D28)</f>
        <v/>
      </c>
      <c r="M28" s="55">
        <f>SUMIFS('08_Sales_Orders'!$M$3:$M$62,'08_Sales_Orders'!$B$3:$B$62,A28,'08_Sales_Orders'!$D$3:$D$62,D28)</f>
        <v/>
      </c>
      <c r="N28" s="52" t="n">
        <v>3.5</v>
      </c>
      <c r="O28" s="52" t="n">
        <v>2.15</v>
      </c>
      <c r="P28" s="58">
        <f>'07_Channel_Costs'!B4*H28</f>
        <v/>
      </c>
      <c r="Q28" s="58">
        <f>'07_Channel_Costs'!C4</f>
        <v/>
      </c>
      <c r="R28" s="58">
        <f>'07_Channel_Costs'!D4</f>
        <v/>
      </c>
      <c r="S28" s="58">
        <f>'07_Channel_Costs'!E4*H28</f>
        <v/>
      </c>
      <c r="T28" s="58">
        <f>J28*H28</f>
        <v/>
      </c>
      <c r="U28" s="58">
        <f>J28*'07_Channel_Costs'!F4*N28</f>
        <v/>
      </c>
      <c r="V28" s="58">
        <f>J28*'07_Channel_Costs'!G4</f>
        <v/>
      </c>
      <c r="W28" s="59">
        <f>IF(K28=0,0,(E28*(N28+O28) + K28*(P28+Q28+R28+S28) + U28 + V28)/K28)</f>
        <v/>
      </c>
      <c r="X28" s="40">
        <f>IF(K28=0,0,(M28-(E28*(N28+O28) + K28*(P28+Q28+R28+S28) + U28 + V28))/K28)</f>
        <v/>
      </c>
      <c r="Y28" s="41">
        <f>IF(M28=0,"",(M28-(E28*(N28+O28) + K28*(P28+Q28+R28+S28) + U28 + V28))/M28)</f>
        <v/>
      </c>
      <c r="Z28" s="60">
        <f>M28-(E28*(N28+O28) + K28*(P28+Q28+R28+S28) + U28 + V28)</f>
        <v/>
      </c>
      <c r="AA28" s="61">
        <f>IF(Y28&gt;=0.4,"🚀 SCALE",IF(Y28&gt;=0.25,"⚙ OPTIMIZE",IF(Y28&gt;=0,"⚠ REVIEW","🔴 KILL")))</f>
        <v/>
      </c>
    </row>
    <row r="29">
      <c r="A29" s="32" t="inlineStr">
        <is>
          <t>TOTALS / AVERAGES</t>
        </is>
      </c>
      <c r="B29" s="108" t="n"/>
      <c r="C29" s="108" t="n"/>
      <c r="D29" s="107" t="n"/>
      <c r="E29" s="65">
        <f>SUM(E5:E28)</f>
        <v/>
      </c>
      <c r="I29" s="60">
        <f>SUM(I5:I28)</f>
        <v/>
      </c>
      <c r="J29" s="65">
        <f>SUM(J5:J28)</f>
        <v/>
      </c>
      <c r="K29" s="65">
        <f>SUM(K5:K28)</f>
        <v/>
      </c>
      <c r="L29" s="60">
        <f>SUM(L5:L28)</f>
        <v/>
      </c>
      <c r="M29" s="60">
        <f>SUM(M5:M28)</f>
        <v/>
      </c>
      <c r="W29" s="60">
        <f>AVERAGE(W5:W28)</f>
        <v/>
      </c>
      <c r="X29" s="60">
        <f>AVERAGE(X5:X28)</f>
        <v/>
      </c>
      <c r="Y29" s="66">
        <f>AVERAGE(Y5:Y28)</f>
        <v/>
      </c>
      <c r="Z29" s="60">
        <f>SUM(Z5:Z28)</f>
        <v/>
      </c>
    </row>
    <row r="31">
      <c r="A31" s="19" t="inlineStr">
        <is>
          <t>All values EX-VAT. DUAL-LENS: Net Units from Sales Orders (econ_units) - always ≥ 0. Net Revenue = Net Units X Net Price + Shipping Income. Total CM = Net Units X CM/unit. Source: sales_orders.csv</t>
        </is>
      </c>
    </row>
  </sheetData>
  <mergeCells count="10">
    <mergeCell ref="Z3"/>
    <mergeCell ref="F3:M3"/>
    <mergeCell ref="AA3"/>
    <mergeCell ref="E3"/>
    <mergeCell ref="W3:Y3"/>
    <mergeCell ref="A3:D3"/>
    <mergeCell ref="A29:D29"/>
    <mergeCell ref="A31:AA31"/>
    <mergeCell ref="A1:AA1"/>
    <mergeCell ref="N3:V3"/>
  </mergeCells>
  <conditionalFormatting sqref="Y5:Y28">
    <cfRule type="colorScale" priority="1">
      <colorScale>
        <cfvo type="num" val="0"/>
        <cfvo type="num" val="0.3"/>
        <cfvo type="num" val="0.55"/>
        <color rgb="00FCE4D6"/>
        <color rgb="00FFEB9C"/>
        <color rgb="00C6EFCE"/>
      </colorScale>
    </cfRule>
  </conditionalFormatting>
  <conditionalFormatting sqref="Z5:Z28">
    <cfRule type="colorScale" priority="2">
      <colorScale>
        <cfvo type="min"/>
        <cfvo type="percentile" val="50"/>
        <cfvo type="max"/>
        <color rgb="00FCE4D6"/>
        <color rgb="00FFEB9C"/>
        <color rgb="00C6EFC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3" customWidth="1" min="4" max="4"/>
    <col width="13" customWidth="1" min="5" max="5"/>
    <col width="11" customWidth="1" min="6" max="6"/>
    <col width="10" customWidth="1" min="7" max="7"/>
    <col width="14" customWidth="1" min="8" max="8"/>
    <col width="13" customWidth="1" min="9" max="9"/>
    <col width="2" customWidth="1" min="10" max="10"/>
    <col width="12" customWidth="1" min="11" max="11"/>
    <col width="30" customWidth="1" min="12" max="12"/>
    <col width="10" customWidth="1" min="13" max="13"/>
    <col width="13" customWidth="1" min="14" max="14"/>
    <col width="13" customWidth="1" min="15" max="15"/>
    <col width="11" customWidth="1" min="16" max="16"/>
    <col width="10" customWidth="1" min="17" max="17"/>
    <col width="14" customWidth="1" min="18" max="18"/>
    <col width="13" customWidth="1" min="19" max="19"/>
  </cols>
  <sheetData>
    <row r="1" ht="32" customHeight="1">
      <c r="A1" s="1" t="inlineStr">
        <is>
          <t>03 | KILL / OPTIMIZE / SCALE DECISION MATRIX — SKU X Channel</t>
        </is>
      </c>
    </row>
    <row r="2" ht="24" customHeight="1">
      <c r="A2" s="39" t="inlineStr">
        <is>
          <t xml:space="preserve">  AMAZON CHANNEL</t>
        </is>
      </c>
      <c r="B2" s="108" t="n"/>
      <c r="C2" s="108" t="n"/>
      <c r="D2" s="108" t="n"/>
      <c r="E2" s="108" t="n"/>
      <c r="F2" s="108" t="n"/>
      <c r="G2" s="108" t="n"/>
      <c r="H2" s="108" t="n"/>
      <c r="I2" s="107" t="n"/>
      <c r="K2" s="67" t="inlineStr">
        <is>
          <t xml:space="preserve">  DTC CHANNEL</t>
        </is>
      </c>
      <c r="L2" s="108" t="n"/>
      <c r="M2" s="108" t="n"/>
      <c r="N2" s="108" t="n"/>
      <c r="O2" s="108" t="n"/>
      <c r="P2" s="108" t="n"/>
      <c r="Q2" s="108" t="n"/>
      <c r="R2" s="108" t="n"/>
      <c r="S2" s="107" t="n"/>
    </row>
    <row r="3" ht="32" customHeight="1">
      <c r="A3" s="43" t="inlineStr">
        <is>
          <t>SKU ID</t>
        </is>
      </c>
      <c r="B3" s="43" t="inlineStr">
        <is>
          <t>SKU Name</t>
        </is>
      </c>
      <c r="C3" s="43" t="inlineStr">
        <is>
          <t>Units
Sold</t>
        </is>
      </c>
      <c r="D3" s="43" t="inlineStr">
        <is>
          <t>Net Price
(ex-VAT)</t>
        </is>
      </c>
      <c r="E3" s="43" t="inlineStr">
        <is>
          <t>Total VC
/unit</t>
        </is>
      </c>
      <c r="F3" s="43" t="inlineStr">
        <is>
          <t>CM /unit</t>
        </is>
      </c>
      <c r="G3" s="43" t="inlineStr">
        <is>
          <t>CM %</t>
        </is>
      </c>
      <c r="H3" s="43" t="inlineStr">
        <is>
          <t>Total CM
(€)</t>
        </is>
      </c>
      <c r="I3" s="43" t="inlineStr">
        <is>
          <t>Decision</t>
        </is>
      </c>
      <c r="K3" s="45" t="inlineStr">
        <is>
          <t>SKU ID</t>
        </is>
      </c>
      <c r="L3" s="45" t="inlineStr">
        <is>
          <t>SKU Name</t>
        </is>
      </c>
      <c r="M3" s="45" t="inlineStr">
        <is>
          <t>Units
Sold</t>
        </is>
      </c>
      <c r="N3" s="45" t="inlineStr">
        <is>
          <t>Net Price
(ex-VAT)</t>
        </is>
      </c>
      <c r="O3" s="45" t="inlineStr">
        <is>
          <t>Total VC
/unit</t>
        </is>
      </c>
      <c r="P3" s="45" t="inlineStr">
        <is>
          <t>CM /unit</t>
        </is>
      </c>
      <c r="Q3" s="45" t="inlineStr">
        <is>
          <t>CM %</t>
        </is>
      </c>
      <c r="R3" s="45" t="inlineStr">
        <is>
          <t>Total CM
(€)</t>
        </is>
      </c>
      <c r="S3" s="45" t="inlineStr">
        <is>
          <t>Decision</t>
        </is>
      </c>
    </row>
    <row r="4" ht="20" customHeight="1">
      <c r="A4" s="68">
        <f>'02_SKU_Channel_PnL'!A5</f>
        <v/>
      </c>
      <c r="B4" s="69">
        <f>'02_SKU_Channel_PnL'!B5</f>
        <v/>
      </c>
      <c r="C4" s="70">
        <f>'02_SKU_Channel_PnL'!E5</f>
        <v/>
      </c>
      <c r="D4" s="71">
        <f>'02_SKU_Channel_PnL'!H5</f>
        <v/>
      </c>
      <c r="E4" s="71">
        <f>'02_SKU_Channel_PnL'!W5</f>
        <v/>
      </c>
      <c r="F4" s="71">
        <f>'02_SKU_Channel_PnL'!X5</f>
        <v/>
      </c>
      <c r="G4" s="72">
        <f>'02_SKU_Channel_PnL'!Y5</f>
        <v/>
      </c>
      <c r="H4" s="73">
        <f>'02_SKU_Channel_PnL'!Z5</f>
        <v/>
      </c>
      <c r="I4" s="74">
        <f>'02_SKU_Channel_PnL'!AA5</f>
        <v/>
      </c>
      <c r="K4" s="68">
        <f>'02_SKU_Channel_PnL'!A6</f>
        <v/>
      </c>
      <c r="L4" s="69">
        <f>'02_SKU_Channel_PnL'!B6</f>
        <v/>
      </c>
      <c r="M4" s="70">
        <f>'02_SKU_Channel_PnL'!E6</f>
        <v/>
      </c>
      <c r="N4" s="71">
        <f>'02_SKU_Channel_PnL'!H6</f>
        <v/>
      </c>
      <c r="O4" s="71">
        <f>'02_SKU_Channel_PnL'!W6</f>
        <v/>
      </c>
      <c r="P4" s="71">
        <f>'02_SKU_Channel_PnL'!X6</f>
        <v/>
      </c>
      <c r="Q4" s="72">
        <f>'02_SKU_Channel_PnL'!Y6</f>
        <v/>
      </c>
      <c r="R4" s="73">
        <f>'02_SKU_Channel_PnL'!Z6</f>
        <v/>
      </c>
      <c r="S4" s="74">
        <f>'02_SKU_Channel_PnL'!AA6</f>
        <v/>
      </c>
    </row>
    <row r="5" ht="20" customHeight="1">
      <c r="A5" s="75">
        <f>'02_SKU_Channel_PnL'!A7</f>
        <v/>
      </c>
      <c r="B5" s="76">
        <f>'02_SKU_Channel_PnL'!B7</f>
        <v/>
      </c>
      <c r="C5" s="77">
        <f>'02_SKU_Channel_PnL'!E7</f>
        <v/>
      </c>
      <c r="D5" s="78">
        <f>'02_SKU_Channel_PnL'!H7</f>
        <v/>
      </c>
      <c r="E5" s="78">
        <f>'02_SKU_Channel_PnL'!W7</f>
        <v/>
      </c>
      <c r="F5" s="78">
        <f>'02_SKU_Channel_PnL'!X7</f>
        <v/>
      </c>
      <c r="G5" s="79">
        <f>'02_SKU_Channel_PnL'!Y7</f>
        <v/>
      </c>
      <c r="H5" s="80">
        <f>'02_SKU_Channel_PnL'!Z7</f>
        <v/>
      </c>
      <c r="I5" s="81">
        <f>'02_SKU_Channel_PnL'!AA7</f>
        <v/>
      </c>
      <c r="K5" s="75">
        <f>'02_SKU_Channel_PnL'!A8</f>
        <v/>
      </c>
      <c r="L5" s="76">
        <f>'02_SKU_Channel_PnL'!B8</f>
        <v/>
      </c>
      <c r="M5" s="77">
        <f>'02_SKU_Channel_PnL'!E8</f>
        <v/>
      </c>
      <c r="N5" s="78">
        <f>'02_SKU_Channel_PnL'!H8</f>
        <v/>
      </c>
      <c r="O5" s="78">
        <f>'02_SKU_Channel_PnL'!W8</f>
        <v/>
      </c>
      <c r="P5" s="78">
        <f>'02_SKU_Channel_PnL'!X8</f>
        <v/>
      </c>
      <c r="Q5" s="79">
        <f>'02_SKU_Channel_PnL'!Y8</f>
        <v/>
      </c>
      <c r="R5" s="80">
        <f>'02_SKU_Channel_PnL'!Z8</f>
        <v/>
      </c>
      <c r="S5" s="81">
        <f>'02_SKU_Channel_PnL'!AA8</f>
        <v/>
      </c>
    </row>
    <row r="6" ht="20" customHeight="1">
      <c r="A6" s="68">
        <f>'02_SKU_Channel_PnL'!A9</f>
        <v/>
      </c>
      <c r="B6" s="69">
        <f>'02_SKU_Channel_PnL'!B9</f>
        <v/>
      </c>
      <c r="C6" s="70">
        <f>'02_SKU_Channel_PnL'!E9</f>
        <v/>
      </c>
      <c r="D6" s="71">
        <f>'02_SKU_Channel_PnL'!H9</f>
        <v/>
      </c>
      <c r="E6" s="71">
        <f>'02_SKU_Channel_PnL'!W9</f>
        <v/>
      </c>
      <c r="F6" s="71">
        <f>'02_SKU_Channel_PnL'!X9</f>
        <v/>
      </c>
      <c r="G6" s="72">
        <f>'02_SKU_Channel_PnL'!Y9</f>
        <v/>
      </c>
      <c r="H6" s="73">
        <f>'02_SKU_Channel_PnL'!Z9</f>
        <v/>
      </c>
      <c r="I6" s="74">
        <f>'02_SKU_Channel_PnL'!AA9</f>
        <v/>
      </c>
      <c r="K6" s="68">
        <f>'02_SKU_Channel_PnL'!A10</f>
        <v/>
      </c>
      <c r="L6" s="69">
        <f>'02_SKU_Channel_PnL'!B10</f>
        <v/>
      </c>
      <c r="M6" s="70">
        <f>'02_SKU_Channel_PnL'!E10</f>
        <v/>
      </c>
      <c r="N6" s="71">
        <f>'02_SKU_Channel_PnL'!H10</f>
        <v/>
      </c>
      <c r="O6" s="71">
        <f>'02_SKU_Channel_PnL'!W10</f>
        <v/>
      </c>
      <c r="P6" s="71">
        <f>'02_SKU_Channel_PnL'!X10</f>
        <v/>
      </c>
      <c r="Q6" s="72">
        <f>'02_SKU_Channel_PnL'!Y10</f>
        <v/>
      </c>
      <c r="R6" s="73">
        <f>'02_SKU_Channel_PnL'!Z10</f>
        <v/>
      </c>
      <c r="S6" s="74">
        <f>'02_SKU_Channel_PnL'!AA10</f>
        <v/>
      </c>
    </row>
    <row r="7" ht="20" customHeight="1">
      <c r="A7" s="75">
        <f>'02_SKU_Channel_PnL'!A11</f>
        <v/>
      </c>
      <c r="B7" s="76">
        <f>'02_SKU_Channel_PnL'!B11</f>
        <v/>
      </c>
      <c r="C7" s="77">
        <f>'02_SKU_Channel_PnL'!E11</f>
        <v/>
      </c>
      <c r="D7" s="78">
        <f>'02_SKU_Channel_PnL'!H11</f>
        <v/>
      </c>
      <c r="E7" s="78">
        <f>'02_SKU_Channel_PnL'!W11</f>
        <v/>
      </c>
      <c r="F7" s="78">
        <f>'02_SKU_Channel_PnL'!X11</f>
        <v/>
      </c>
      <c r="G7" s="79">
        <f>'02_SKU_Channel_PnL'!Y11</f>
        <v/>
      </c>
      <c r="H7" s="80">
        <f>'02_SKU_Channel_PnL'!Z11</f>
        <v/>
      </c>
      <c r="I7" s="81">
        <f>'02_SKU_Channel_PnL'!AA11</f>
        <v/>
      </c>
      <c r="K7" s="75">
        <f>'02_SKU_Channel_PnL'!A12</f>
        <v/>
      </c>
      <c r="L7" s="76">
        <f>'02_SKU_Channel_PnL'!B12</f>
        <v/>
      </c>
      <c r="M7" s="77">
        <f>'02_SKU_Channel_PnL'!E12</f>
        <v/>
      </c>
      <c r="N7" s="78">
        <f>'02_SKU_Channel_PnL'!H12</f>
        <v/>
      </c>
      <c r="O7" s="78">
        <f>'02_SKU_Channel_PnL'!W12</f>
        <v/>
      </c>
      <c r="P7" s="78">
        <f>'02_SKU_Channel_PnL'!X12</f>
        <v/>
      </c>
      <c r="Q7" s="79">
        <f>'02_SKU_Channel_PnL'!Y12</f>
        <v/>
      </c>
      <c r="R7" s="80">
        <f>'02_SKU_Channel_PnL'!Z12</f>
        <v/>
      </c>
      <c r="S7" s="81">
        <f>'02_SKU_Channel_PnL'!AA12</f>
        <v/>
      </c>
    </row>
    <row r="8" ht="20" customHeight="1">
      <c r="A8" s="68">
        <f>'02_SKU_Channel_PnL'!A13</f>
        <v/>
      </c>
      <c r="B8" s="69">
        <f>'02_SKU_Channel_PnL'!B13</f>
        <v/>
      </c>
      <c r="C8" s="70">
        <f>'02_SKU_Channel_PnL'!E13</f>
        <v/>
      </c>
      <c r="D8" s="71">
        <f>'02_SKU_Channel_PnL'!H13</f>
        <v/>
      </c>
      <c r="E8" s="71">
        <f>'02_SKU_Channel_PnL'!W13</f>
        <v/>
      </c>
      <c r="F8" s="71">
        <f>'02_SKU_Channel_PnL'!X13</f>
        <v/>
      </c>
      <c r="G8" s="72">
        <f>'02_SKU_Channel_PnL'!Y13</f>
        <v/>
      </c>
      <c r="H8" s="73">
        <f>'02_SKU_Channel_PnL'!Z13</f>
        <v/>
      </c>
      <c r="I8" s="74">
        <f>'02_SKU_Channel_PnL'!AA13</f>
        <v/>
      </c>
      <c r="K8" s="68">
        <f>'02_SKU_Channel_PnL'!A14</f>
        <v/>
      </c>
      <c r="L8" s="69">
        <f>'02_SKU_Channel_PnL'!B14</f>
        <v/>
      </c>
      <c r="M8" s="70">
        <f>'02_SKU_Channel_PnL'!E14</f>
        <v/>
      </c>
      <c r="N8" s="71">
        <f>'02_SKU_Channel_PnL'!H14</f>
        <v/>
      </c>
      <c r="O8" s="71">
        <f>'02_SKU_Channel_PnL'!W14</f>
        <v/>
      </c>
      <c r="P8" s="71">
        <f>'02_SKU_Channel_PnL'!X14</f>
        <v/>
      </c>
      <c r="Q8" s="72">
        <f>'02_SKU_Channel_PnL'!Y14</f>
        <v/>
      </c>
      <c r="R8" s="73">
        <f>'02_SKU_Channel_PnL'!Z14</f>
        <v/>
      </c>
      <c r="S8" s="74">
        <f>'02_SKU_Channel_PnL'!AA14</f>
        <v/>
      </c>
    </row>
    <row r="9" ht="20" customHeight="1">
      <c r="A9" s="75">
        <f>'02_SKU_Channel_PnL'!A15</f>
        <v/>
      </c>
      <c r="B9" s="76">
        <f>'02_SKU_Channel_PnL'!B15</f>
        <v/>
      </c>
      <c r="C9" s="77">
        <f>'02_SKU_Channel_PnL'!E15</f>
        <v/>
      </c>
      <c r="D9" s="78">
        <f>'02_SKU_Channel_PnL'!H15</f>
        <v/>
      </c>
      <c r="E9" s="78">
        <f>'02_SKU_Channel_PnL'!W15</f>
        <v/>
      </c>
      <c r="F9" s="78">
        <f>'02_SKU_Channel_PnL'!X15</f>
        <v/>
      </c>
      <c r="G9" s="79">
        <f>'02_SKU_Channel_PnL'!Y15</f>
        <v/>
      </c>
      <c r="H9" s="80">
        <f>'02_SKU_Channel_PnL'!Z15</f>
        <v/>
      </c>
      <c r="I9" s="81">
        <f>'02_SKU_Channel_PnL'!AA15</f>
        <v/>
      </c>
      <c r="K9" s="75">
        <f>'02_SKU_Channel_PnL'!A16</f>
        <v/>
      </c>
      <c r="L9" s="76">
        <f>'02_SKU_Channel_PnL'!B16</f>
        <v/>
      </c>
      <c r="M9" s="77">
        <f>'02_SKU_Channel_PnL'!E16</f>
        <v/>
      </c>
      <c r="N9" s="78">
        <f>'02_SKU_Channel_PnL'!H16</f>
        <v/>
      </c>
      <c r="O9" s="78">
        <f>'02_SKU_Channel_PnL'!W16</f>
        <v/>
      </c>
      <c r="P9" s="78">
        <f>'02_SKU_Channel_PnL'!X16</f>
        <v/>
      </c>
      <c r="Q9" s="79">
        <f>'02_SKU_Channel_PnL'!Y16</f>
        <v/>
      </c>
      <c r="R9" s="80">
        <f>'02_SKU_Channel_PnL'!Z16</f>
        <v/>
      </c>
      <c r="S9" s="81">
        <f>'02_SKU_Channel_PnL'!AA16</f>
        <v/>
      </c>
    </row>
    <row r="10" ht="20" customHeight="1">
      <c r="A10" s="68">
        <f>'02_SKU_Channel_PnL'!A17</f>
        <v/>
      </c>
      <c r="B10" s="69">
        <f>'02_SKU_Channel_PnL'!B17</f>
        <v/>
      </c>
      <c r="C10" s="70">
        <f>'02_SKU_Channel_PnL'!E17</f>
        <v/>
      </c>
      <c r="D10" s="71">
        <f>'02_SKU_Channel_PnL'!H17</f>
        <v/>
      </c>
      <c r="E10" s="71">
        <f>'02_SKU_Channel_PnL'!W17</f>
        <v/>
      </c>
      <c r="F10" s="71">
        <f>'02_SKU_Channel_PnL'!X17</f>
        <v/>
      </c>
      <c r="G10" s="72">
        <f>'02_SKU_Channel_PnL'!Y17</f>
        <v/>
      </c>
      <c r="H10" s="73">
        <f>'02_SKU_Channel_PnL'!Z17</f>
        <v/>
      </c>
      <c r="I10" s="74">
        <f>'02_SKU_Channel_PnL'!AA17</f>
        <v/>
      </c>
      <c r="K10" s="68">
        <f>'02_SKU_Channel_PnL'!A18</f>
        <v/>
      </c>
      <c r="L10" s="69">
        <f>'02_SKU_Channel_PnL'!B18</f>
        <v/>
      </c>
      <c r="M10" s="70">
        <f>'02_SKU_Channel_PnL'!E18</f>
        <v/>
      </c>
      <c r="N10" s="71">
        <f>'02_SKU_Channel_PnL'!H18</f>
        <v/>
      </c>
      <c r="O10" s="71">
        <f>'02_SKU_Channel_PnL'!W18</f>
        <v/>
      </c>
      <c r="P10" s="71">
        <f>'02_SKU_Channel_PnL'!X18</f>
        <v/>
      </c>
      <c r="Q10" s="72">
        <f>'02_SKU_Channel_PnL'!Y18</f>
        <v/>
      </c>
      <c r="R10" s="73">
        <f>'02_SKU_Channel_PnL'!Z18</f>
        <v/>
      </c>
      <c r="S10" s="74">
        <f>'02_SKU_Channel_PnL'!AA18</f>
        <v/>
      </c>
    </row>
    <row r="11" ht="20" customHeight="1">
      <c r="A11" s="75">
        <f>'02_SKU_Channel_PnL'!A19</f>
        <v/>
      </c>
      <c r="B11" s="76">
        <f>'02_SKU_Channel_PnL'!B19</f>
        <v/>
      </c>
      <c r="C11" s="77">
        <f>'02_SKU_Channel_PnL'!E19</f>
        <v/>
      </c>
      <c r="D11" s="78">
        <f>'02_SKU_Channel_PnL'!H19</f>
        <v/>
      </c>
      <c r="E11" s="78">
        <f>'02_SKU_Channel_PnL'!W19</f>
        <v/>
      </c>
      <c r="F11" s="78">
        <f>'02_SKU_Channel_PnL'!X19</f>
        <v/>
      </c>
      <c r="G11" s="79">
        <f>'02_SKU_Channel_PnL'!Y19</f>
        <v/>
      </c>
      <c r="H11" s="80">
        <f>'02_SKU_Channel_PnL'!Z19</f>
        <v/>
      </c>
      <c r="I11" s="81">
        <f>'02_SKU_Channel_PnL'!AA19</f>
        <v/>
      </c>
      <c r="K11" s="75">
        <f>'02_SKU_Channel_PnL'!A20</f>
        <v/>
      </c>
      <c r="L11" s="76">
        <f>'02_SKU_Channel_PnL'!B20</f>
        <v/>
      </c>
      <c r="M11" s="77">
        <f>'02_SKU_Channel_PnL'!E20</f>
        <v/>
      </c>
      <c r="N11" s="78">
        <f>'02_SKU_Channel_PnL'!H20</f>
        <v/>
      </c>
      <c r="O11" s="78">
        <f>'02_SKU_Channel_PnL'!W20</f>
        <v/>
      </c>
      <c r="P11" s="78">
        <f>'02_SKU_Channel_PnL'!X20</f>
        <v/>
      </c>
      <c r="Q11" s="79">
        <f>'02_SKU_Channel_PnL'!Y20</f>
        <v/>
      </c>
      <c r="R11" s="80">
        <f>'02_SKU_Channel_PnL'!Z20</f>
        <v/>
      </c>
      <c r="S11" s="81">
        <f>'02_SKU_Channel_PnL'!AA20</f>
        <v/>
      </c>
    </row>
    <row r="12" ht="20" customHeight="1">
      <c r="A12" s="68">
        <f>'02_SKU_Channel_PnL'!A21</f>
        <v/>
      </c>
      <c r="B12" s="69">
        <f>'02_SKU_Channel_PnL'!B21</f>
        <v/>
      </c>
      <c r="C12" s="70">
        <f>'02_SKU_Channel_PnL'!E21</f>
        <v/>
      </c>
      <c r="D12" s="71">
        <f>'02_SKU_Channel_PnL'!H21</f>
        <v/>
      </c>
      <c r="E12" s="71">
        <f>'02_SKU_Channel_PnL'!W21</f>
        <v/>
      </c>
      <c r="F12" s="71">
        <f>'02_SKU_Channel_PnL'!X21</f>
        <v/>
      </c>
      <c r="G12" s="72">
        <f>'02_SKU_Channel_PnL'!Y21</f>
        <v/>
      </c>
      <c r="H12" s="73">
        <f>'02_SKU_Channel_PnL'!Z21</f>
        <v/>
      </c>
      <c r="I12" s="74">
        <f>'02_SKU_Channel_PnL'!AA21</f>
        <v/>
      </c>
      <c r="K12" s="68">
        <f>'02_SKU_Channel_PnL'!A22</f>
        <v/>
      </c>
      <c r="L12" s="69">
        <f>'02_SKU_Channel_PnL'!B22</f>
        <v/>
      </c>
      <c r="M12" s="70">
        <f>'02_SKU_Channel_PnL'!E22</f>
        <v/>
      </c>
      <c r="N12" s="71">
        <f>'02_SKU_Channel_PnL'!H22</f>
        <v/>
      </c>
      <c r="O12" s="71">
        <f>'02_SKU_Channel_PnL'!W22</f>
        <v/>
      </c>
      <c r="P12" s="71">
        <f>'02_SKU_Channel_PnL'!X22</f>
        <v/>
      </c>
      <c r="Q12" s="72">
        <f>'02_SKU_Channel_PnL'!Y22</f>
        <v/>
      </c>
      <c r="R12" s="73">
        <f>'02_SKU_Channel_PnL'!Z22</f>
        <v/>
      </c>
      <c r="S12" s="74">
        <f>'02_SKU_Channel_PnL'!AA22</f>
        <v/>
      </c>
    </row>
    <row r="13" ht="20" customHeight="1">
      <c r="A13" s="75">
        <f>'02_SKU_Channel_PnL'!A23</f>
        <v/>
      </c>
      <c r="B13" s="76">
        <f>'02_SKU_Channel_PnL'!B23</f>
        <v/>
      </c>
      <c r="C13" s="77">
        <f>'02_SKU_Channel_PnL'!E23</f>
        <v/>
      </c>
      <c r="D13" s="78">
        <f>'02_SKU_Channel_PnL'!H23</f>
        <v/>
      </c>
      <c r="E13" s="78">
        <f>'02_SKU_Channel_PnL'!W23</f>
        <v/>
      </c>
      <c r="F13" s="78">
        <f>'02_SKU_Channel_PnL'!X23</f>
        <v/>
      </c>
      <c r="G13" s="79">
        <f>'02_SKU_Channel_PnL'!Y23</f>
        <v/>
      </c>
      <c r="H13" s="80">
        <f>'02_SKU_Channel_PnL'!Z23</f>
        <v/>
      </c>
      <c r="I13" s="81">
        <f>'02_SKU_Channel_PnL'!AA23</f>
        <v/>
      </c>
      <c r="K13" s="75">
        <f>'02_SKU_Channel_PnL'!A24</f>
        <v/>
      </c>
      <c r="L13" s="76">
        <f>'02_SKU_Channel_PnL'!B24</f>
        <v/>
      </c>
      <c r="M13" s="77">
        <f>'02_SKU_Channel_PnL'!E24</f>
        <v/>
      </c>
      <c r="N13" s="78">
        <f>'02_SKU_Channel_PnL'!H24</f>
        <v/>
      </c>
      <c r="O13" s="78">
        <f>'02_SKU_Channel_PnL'!W24</f>
        <v/>
      </c>
      <c r="P13" s="78">
        <f>'02_SKU_Channel_PnL'!X24</f>
        <v/>
      </c>
      <c r="Q13" s="79">
        <f>'02_SKU_Channel_PnL'!Y24</f>
        <v/>
      </c>
      <c r="R13" s="80">
        <f>'02_SKU_Channel_PnL'!Z24</f>
        <v/>
      </c>
      <c r="S13" s="81">
        <f>'02_SKU_Channel_PnL'!AA24</f>
        <v/>
      </c>
    </row>
    <row r="14" ht="20" customHeight="1">
      <c r="A14" s="68">
        <f>'02_SKU_Channel_PnL'!A25</f>
        <v/>
      </c>
      <c r="B14" s="69">
        <f>'02_SKU_Channel_PnL'!B25</f>
        <v/>
      </c>
      <c r="C14" s="70">
        <f>'02_SKU_Channel_PnL'!E25</f>
        <v/>
      </c>
      <c r="D14" s="71">
        <f>'02_SKU_Channel_PnL'!H25</f>
        <v/>
      </c>
      <c r="E14" s="71">
        <f>'02_SKU_Channel_PnL'!W25</f>
        <v/>
      </c>
      <c r="F14" s="71">
        <f>'02_SKU_Channel_PnL'!X25</f>
        <v/>
      </c>
      <c r="G14" s="72">
        <f>'02_SKU_Channel_PnL'!Y25</f>
        <v/>
      </c>
      <c r="H14" s="73">
        <f>'02_SKU_Channel_PnL'!Z25</f>
        <v/>
      </c>
      <c r="I14" s="74">
        <f>'02_SKU_Channel_PnL'!AA25</f>
        <v/>
      </c>
      <c r="K14" s="68">
        <f>'02_SKU_Channel_PnL'!A26</f>
        <v/>
      </c>
      <c r="L14" s="69">
        <f>'02_SKU_Channel_PnL'!B26</f>
        <v/>
      </c>
      <c r="M14" s="70">
        <f>'02_SKU_Channel_PnL'!E26</f>
        <v/>
      </c>
      <c r="N14" s="71">
        <f>'02_SKU_Channel_PnL'!H26</f>
        <v/>
      </c>
      <c r="O14" s="71">
        <f>'02_SKU_Channel_PnL'!W26</f>
        <v/>
      </c>
      <c r="P14" s="71">
        <f>'02_SKU_Channel_PnL'!X26</f>
        <v/>
      </c>
      <c r="Q14" s="72">
        <f>'02_SKU_Channel_PnL'!Y26</f>
        <v/>
      </c>
      <c r="R14" s="73">
        <f>'02_SKU_Channel_PnL'!Z26</f>
        <v/>
      </c>
      <c r="S14" s="74">
        <f>'02_SKU_Channel_PnL'!AA26</f>
        <v/>
      </c>
    </row>
    <row r="15" ht="20" customHeight="1">
      <c r="A15" s="75">
        <f>'02_SKU_Channel_PnL'!A27</f>
        <v/>
      </c>
      <c r="B15" s="76">
        <f>'02_SKU_Channel_PnL'!B27</f>
        <v/>
      </c>
      <c r="C15" s="77">
        <f>'02_SKU_Channel_PnL'!E27</f>
        <v/>
      </c>
      <c r="D15" s="78">
        <f>'02_SKU_Channel_PnL'!H27</f>
        <v/>
      </c>
      <c r="E15" s="78">
        <f>'02_SKU_Channel_PnL'!W27</f>
        <v/>
      </c>
      <c r="F15" s="78">
        <f>'02_SKU_Channel_PnL'!X27</f>
        <v/>
      </c>
      <c r="G15" s="79">
        <f>'02_SKU_Channel_PnL'!Y27</f>
        <v/>
      </c>
      <c r="H15" s="80">
        <f>'02_SKU_Channel_PnL'!Z27</f>
        <v/>
      </c>
      <c r="I15" s="81">
        <f>'02_SKU_Channel_PnL'!AA27</f>
        <v/>
      </c>
      <c r="K15" s="75">
        <f>'02_SKU_Channel_PnL'!A28</f>
        <v/>
      </c>
      <c r="L15" s="76">
        <f>'02_SKU_Channel_PnL'!B28</f>
        <v/>
      </c>
      <c r="M15" s="77">
        <f>'02_SKU_Channel_PnL'!E28</f>
        <v/>
      </c>
      <c r="N15" s="78">
        <f>'02_SKU_Channel_PnL'!H28</f>
        <v/>
      </c>
      <c r="O15" s="78">
        <f>'02_SKU_Channel_PnL'!W28</f>
        <v/>
      </c>
      <c r="P15" s="78">
        <f>'02_SKU_Channel_PnL'!X28</f>
        <v/>
      </c>
      <c r="Q15" s="79">
        <f>'02_SKU_Channel_PnL'!Y28</f>
        <v/>
      </c>
      <c r="R15" s="80">
        <f>'02_SKU_Channel_PnL'!Z28</f>
        <v/>
      </c>
      <c r="S15" s="81">
        <f>'02_SKU_Channel_PnL'!AA28</f>
        <v/>
      </c>
    </row>
    <row r="16">
      <c r="A16" s="32" t="inlineStr">
        <is>
          <t>TOTAL / AVG</t>
        </is>
      </c>
      <c r="B16" s="107" t="n"/>
      <c r="C16" s="65">
        <f>SUM(C4:C15)</f>
        <v/>
      </c>
      <c r="D16" s="60">
        <f>AVERAGE(D4:D15)</f>
        <v/>
      </c>
      <c r="E16" s="60">
        <f>AVERAGE(E4:E15)</f>
        <v/>
      </c>
      <c r="F16" s="60">
        <f>AVERAGE(F4:F15)</f>
        <v/>
      </c>
      <c r="G16" s="66">
        <f>AVERAGE(G4:G15)</f>
        <v/>
      </c>
      <c r="H16" s="60">
        <f>SUM(H4:H15)</f>
        <v/>
      </c>
      <c r="K16" s="82" t="inlineStr">
        <is>
          <t>TOTAL / AVG</t>
        </is>
      </c>
      <c r="L16" s="107" t="n"/>
      <c r="M16" s="65">
        <f>SUM(M4:M15)</f>
        <v/>
      </c>
      <c r="N16" s="60">
        <f>AVERAGE(N4:N15)</f>
        <v/>
      </c>
      <c r="O16" s="60">
        <f>AVERAGE(O4:O15)</f>
        <v/>
      </c>
      <c r="P16" s="60">
        <f>AVERAGE(P4:P15)</f>
        <v/>
      </c>
      <c r="Q16" s="66">
        <f>AVERAGE(Q4:Q15)</f>
        <v/>
      </c>
      <c r="R16" s="60">
        <f>SUM(R4:R15)</f>
        <v/>
      </c>
    </row>
    <row r="19">
      <c r="A19" s="8" t="inlineStr">
        <is>
          <t>💡 Dual-Lens: Net Units (econ_units) always ≥ 0. Thresholds: 🚀 SCALE ≥ 40% | ⚙ OPTIMIZE 25–39% | 🔴 KILL &lt; 25%</t>
        </is>
      </c>
    </row>
  </sheetData>
  <mergeCells count="6">
    <mergeCell ref="A1:T1"/>
    <mergeCell ref="K16:L16"/>
    <mergeCell ref="A19:S19"/>
    <mergeCell ref="A16:B16"/>
    <mergeCell ref="K2:S2"/>
    <mergeCell ref="A2:I2"/>
  </mergeCells>
  <conditionalFormatting sqref="G4:G15">
    <cfRule type="colorScale" priority="1">
      <colorScale>
        <cfvo type="num" val="0"/>
        <cfvo type="num" val="0.3"/>
        <cfvo type="num" val="0.55"/>
        <color rgb="00FCE4D6"/>
        <color rgb="00FFEB9C"/>
        <color rgb="00C6EFCE"/>
      </colorScale>
    </cfRule>
  </conditionalFormatting>
  <conditionalFormatting sqref="H4:H15">
    <cfRule type="colorScale" priority="2">
      <colorScale>
        <cfvo type="min"/>
        <cfvo type="percentile" val="50"/>
        <cfvo type="max"/>
        <color rgb="00FCE4D6"/>
        <color rgb="00FFEB9C"/>
        <color rgb="00C6EFCE"/>
      </colorScale>
    </cfRule>
  </conditionalFormatting>
  <conditionalFormatting sqref="Q4:Q15">
    <cfRule type="colorScale" priority="3">
      <colorScale>
        <cfvo type="num" val="0"/>
        <cfvo type="num" val="0.3"/>
        <cfvo type="num" val="0.55"/>
        <color rgb="00FCE4D6"/>
        <color rgb="00FFEB9C"/>
        <color rgb="00C6EFCE"/>
      </colorScale>
    </cfRule>
  </conditionalFormatting>
  <conditionalFormatting sqref="R4:R15">
    <cfRule type="colorScale" priority="4">
      <colorScale>
        <cfvo type="min"/>
        <cfvo type="percentile" val="50"/>
        <cfvo type="max"/>
        <color rgb="00FCE4D6"/>
        <color rgb="00FFEB9C"/>
        <color rgb="00C6EFCE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3" customWidth="1" min="3" max="3"/>
    <col width="11" customWidth="1" min="4" max="4"/>
    <col width="10" customWidth="1" min="5" max="5"/>
    <col width="9" customWidth="1" min="6" max="6"/>
    <col width="10" customWidth="1" min="7" max="7"/>
    <col width="9" customWidth="1" min="8" max="8"/>
    <col width="10" customWidth="1" min="9" max="9"/>
    <col width="9" customWidth="1" min="10" max="10"/>
    <col width="10" customWidth="1" min="11" max="11"/>
    <col width="9" customWidth="1" min="12" max="12"/>
    <col width="10" customWidth="1" min="13" max="13"/>
    <col width="9" customWidth="1" min="14" max="14"/>
    <col width="10" customWidth="1" min="15" max="15"/>
    <col width="9" customWidth="1" min="16" max="16"/>
    <col width="10" customWidth="1" min="17" max="17"/>
    <col width="9" customWidth="1" min="18" max="18"/>
    <col width="10" customWidth="1" min="19" max="19"/>
    <col width="9" customWidth="1" min="20" max="20"/>
    <col width="10" customWidth="1" min="21" max="21"/>
    <col width="9" customWidth="1" min="22" max="22"/>
    <col width="12" customWidth="1" min="23" max="23"/>
  </cols>
  <sheetData>
    <row r="1" ht="32" customHeight="1">
      <c r="A1" s="1" t="inlineStr">
        <is>
          <t>04 | SCENARIO ANALYSIS — Sensitivity Matrix (9 Scenarios × SKU × Channel)</t>
        </is>
      </c>
    </row>
    <row r="2" ht="20" customHeight="1">
      <c r="A2" s="35" t="inlineStr">
        <is>
          <t xml:space="preserve">  SCENARIO ASSUMPTIONS (edit deltas in config.json → scenarios)</t>
        </is>
      </c>
    </row>
    <row r="3" ht="16" customHeight="1">
      <c r="A3" s="36" t="inlineStr">
        <is>
          <t>Price sensitivity</t>
        </is>
      </c>
      <c r="B3" s="97" t="n">
        <v>0.1</v>
      </c>
      <c r="C3" s="97" t="n">
        <v>-0.1</v>
      </c>
      <c r="D3" s="6" t="inlineStr">
        <is>
          <t>±% on Base Price</t>
        </is>
      </c>
    </row>
    <row r="4" ht="16" customHeight="1">
      <c r="A4" s="36" t="inlineStr">
        <is>
          <t>Discount sensitivity</t>
        </is>
      </c>
      <c r="B4" s="97" t="n">
        <v>0.05</v>
      </c>
      <c r="C4" s="97" t="n">
        <v>-0.05</v>
      </c>
      <c r="D4" s="6" t="inlineStr">
        <is>
          <t>±pp on channel discount</t>
        </is>
      </c>
    </row>
    <row r="5" ht="16" customHeight="1">
      <c r="A5" s="36" t="inlineStr">
        <is>
          <t>Ads sensitivity</t>
        </is>
      </c>
      <c r="B5" s="97" t="n">
        <v>0.05</v>
      </c>
      <c r="C5" s="97" t="n">
        <v>-0.05</v>
      </c>
      <c r="D5" s="6" t="inlineStr">
        <is>
          <t>±pp on channel ads %</t>
        </is>
      </c>
    </row>
    <row r="6" ht="16" customHeight="1">
      <c r="A6" s="36" t="inlineStr">
        <is>
          <t>Returns sensitivity</t>
        </is>
      </c>
      <c r="B6" s="97" t="n">
        <v>0.03</v>
      </c>
      <c r="C6" s="97" t="n">
        <v>-0.03</v>
      </c>
      <c r="D6" s="6" t="inlineStr">
        <is>
          <t>±pp on channel returns % (expected-value)</t>
        </is>
      </c>
    </row>
    <row r="7" ht="32" customHeight="1">
      <c r="A7" s="43" t="inlineStr">
        <is>
          <t>SKU INFO</t>
        </is>
      </c>
      <c r="B7" s="108" t="n"/>
      <c r="C7" s="108" t="n"/>
      <c r="D7" s="107" t="n"/>
      <c r="E7" s="109" t="inlineStr">
        <is>
          <t>Base Case</t>
        </is>
      </c>
      <c r="F7" s="107" t="n"/>
      <c r="G7" s="110" t="inlineStr">
        <is>
          <t>Price +10%</t>
        </is>
      </c>
      <c r="H7" s="107" t="n"/>
      <c r="I7" s="110" t="inlineStr">
        <is>
          <t>Price -10%</t>
        </is>
      </c>
      <c r="J7" s="107" t="n"/>
      <c r="K7" s="111" t="inlineStr">
        <is>
          <t>Discount +5pp</t>
        </is>
      </c>
      <c r="L7" s="107" t="n"/>
      <c r="M7" s="111" t="inlineStr">
        <is>
          <t>Discount -5pp</t>
        </is>
      </c>
      <c r="N7" s="107" t="n"/>
      <c r="O7" s="112" t="inlineStr">
        <is>
          <t>Ads +5pp</t>
        </is>
      </c>
      <c r="P7" s="107" t="n"/>
      <c r="Q7" s="112" t="inlineStr">
        <is>
          <t>Ads -5pp</t>
        </is>
      </c>
      <c r="R7" s="107" t="n"/>
      <c r="S7" s="113" t="inlineStr">
        <is>
          <t>Returns +3pp</t>
        </is>
      </c>
      <c r="T7" s="107" t="n"/>
      <c r="U7" s="113" t="inlineStr">
        <is>
          <t>Returns -3pp</t>
        </is>
      </c>
      <c r="V7" s="107" t="n"/>
    </row>
    <row r="8" ht="28" customHeight="1">
      <c r="A8" s="43" t="inlineStr">
        <is>
          <t>SKU ID</t>
        </is>
      </c>
      <c r="B8" s="43" t="inlineStr">
        <is>
          <t>SKU Name</t>
        </is>
      </c>
      <c r="C8" s="43" t="inlineStr">
        <is>
          <t>Subcategory</t>
        </is>
      </c>
      <c r="D8" s="43" t="inlineStr">
        <is>
          <t>Channel</t>
        </is>
      </c>
      <c r="E8" s="109" t="inlineStr">
        <is>
          <t>CM/unit</t>
        </is>
      </c>
      <c r="F8" s="109" t="inlineStr">
        <is>
          <t>CM %</t>
        </is>
      </c>
      <c r="G8" s="110" t="inlineStr">
        <is>
          <t>CM/unit</t>
        </is>
      </c>
      <c r="H8" s="110" t="inlineStr">
        <is>
          <t>CM %</t>
        </is>
      </c>
      <c r="I8" s="110" t="inlineStr">
        <is>
          <t>CM/unit</t>
        </is>
      </c>
      <c r="J8" s="110" t="inlineStr">
        <is>
          <t>CM %</t>
        </is>
      </c>
      <c r="K8" s="111" t="inlineStr">
        <is>
          <t>CM/unit</t>
        </is>
      </c>
      <c r="L8" s="111" t="inlineStr">
        <is>
          <t>CM %</t>
        </is>
      </c>
      <c r="M8" s="111" t="inlineStr">
        <is>
          <t>CM/unit</t>
        </is>
      </c>
      <c r="N8" s="111" t="inlineStr">
        <is>
          <t>CM %</t>
        </is>
      </c>
      <c r="O8" s="112" t="inlineStr">
        <is>
          <t>CM/unit</t>
        </is>
      </c>
      <c r="P8" s="112" t="inlineStr">
        <is>
          <t>CM %</t>
        </is>
      </c>
      <c r="Q8" s="112" t="inlineStr">
        <is>
          <t>CM/unit</t>
        </is>
      </c>
      <c r="R8" s="112" t="inlineStr">
        <is>
          <t>CM %</t>
        </is>
      </c>
      <c r="S8" s="113" t="inlineStr">
        <is>
          <t>CM/unit</t>
        </is>
      </c>
      <c r="T8" s="113" t="inlineStr">
        <is>
          <t>CM %</t>
        </is>
      </c>
      <c r="U8" s="113" t="inlineStr">
        <is>
          <t>CM/unit</t>
        </is>
      </c>
      <c r="V8" s="113" t="inlineStr">
        <is>
          <t>CM %</t>
        </is>
      </c>
      <c r="W8" s="109" t="inlineStr">
        <is>
          <t>Worst
Case</t>
        </is>
      </c>
    </row>
    <row r="9" ht="20" customHeight="1">
      <c r="A9" s="48" t="inlineStr">
        <is>
          <t>SKU-001</t>
        </is>
      </c>
      <c r="B9" s="49" t="inlineStr">
        <is>
          <t>Vitamin C Brightening Serum 30ml</t>
        </is>
      </c>
      <c r="C9" s="48" t="inlineStr">
        <is>
          <t>Serum</t>
        </is>
      </c>
      <c r="D9" s="50" t="inlineStr">
        <is>
          <t>Amazon</t>
        </is>
      </c>
      <c r="E9" s="40" t="n">
        <v>9.239100000000001</v>
      </c>
      <c r="F9" s="41" t="n">
        <v>0.277948</v>
      </c>
      <c r="G9" s="85" t="n">
        <v>11.4662</v>
      </c>
      <c r="H9" s="53" t="n">
        <v>0.313589</v>
      </c>
      <c r="I9" s="85" t="n">
        <v>7.012</v>
      </c>
      <c r="J9" s="53" t="n">
        <v>0.234387</v>
      </c>
      <c r="K9" s="85" t="n">
        <v>8.067</v>
      </c>
      <c r="L9" s="53" t="n">
        <v>0.256167</v>
      </c>
      <c r="M9" s="85" t="n">
        <v>10.4113</v>
      </c>
      <c r="N9" s="53" t="n">
        <v>0.297551</v>
      </c>
      <c r="O9" s="85" t="n">
        <v>7.5771</v>
      </c>
      <c r="P9" s="53" t="n">
        <v>0.227948</v>
      </c>
      <c r="Q9" s="85" t="n">
        <v>10.9012</v>
      </c>
      <c r="R9" s="53" t="n">
        <v>0.327948</v>
      </c>
      <c r="S9" s="85" t="n">
        <v>8.0259</v>
      </c>
      <c r="T9" s="53" t="n">
        <v>0.24145</v>
      </c>
      <c r="U9" s="85" t="n">
        <v>10.4523</v>
      </c>
      <c r="V9" s="53" t="n">
        <v>0.314446</v>
      </c>
      <c r="W9" s="114" t="inlineStr">
        <is>
          <t>🔴 22.8%</t>
        </is>
      </c>
    </row>
    <row r="10" ht="20" customHeight="1">
      <c r="A10" s="62" t="inlineStr">
        <is>
          <t>SKU-001</t>
        </is>
      </c>
      <c r="B10" s="63" t="inlineStr">
        <is>
          <t>Vitamin C Brightening Serum 30ml</t>
        </is>
      </c>
      <c r="C10" s="62" t="inlineStr">
        <is>
          <t>Serum</t>
        </is>
      </c>
      <c r="D10" s="64" t="inlineStr">
        <is>
          <t>DTC</t>
        </is>
      </c>
      <c r="E10" s="40" t="n">
        <v>13.0038</v>
      </c>
      <c r="F10" s="41" t="n">
        <v>0.412935</v>
      </c>
      <c r="G10" s="85" t="n">
        <v>15.7151</v>
      </c>
      <c r="H10" s="53" t="n">
        <v>0.453669</v>
      </c>
      <c r="I10" s="85" t="n">
        <v>10.2924</v>
      </c>
      <c r="J10" s="53" t="n">
        <v>0.363151</v>
      </c>
      <c r="K10" s="85" t="n">
        <v>11.4974</v>
      </c>
      <c r="L10" s="53" t="n">
        <v>0.386579</v>
      </c>
      <c r="M10" s="85" t="n">
        <v>14.5101</v>
      </c>
      <c r="N10" s="53" t="n">
        <v>0.436518</v>
      </c>
      <c r="O10" s="85" t="n">
        <v>11.4292</v>
      </c>
      <c r="P10" s="53" t="n">
        <v>0.362935</v>
      </c>
      <c r="Q10" s="85" t="n">
        <v>14.5783</v>
      </c>
      <c r="R10" s="53" t="n">
        <v>0.462935</v>
      </c>
      <c r="S10" s="85" t="n">
        <v>11.849</v>
      </c>
      <c r="T10" s="53" t="n">
        <v>0.376267</v>
      </c>
      <c r="U10" s="85" t="n">
        <v>14.1585</v>
      </c>
      <c r="V10" s="53" t="n">
        <v>0.449604</v>
      </c>
      <c r="W10" s="115" t="inlineStr">
        <is>
          <t>⚙ 36.3%</t>
        </is>
      </c>
    </row>
    <row r="11" ht="20" customHeight="1">
      <c r="A11" s="48" t="inlineStr">
        <is>
          <t>SKU-002</t>
        </is>
      </c>
      <c r="B11" s="49" t="inlineStr">
        <is>
          <t>Hyaluronic Acid Moisturiser 50ml</t>
        </is>
      </c>
      <c r="C11" s="48" t="inlineStr">
        <is>
          <t>Moisturiser</t>
        </is>
      </c>
      <c r="D11" s="50" t="inlineStr">
        <is>
          <t>Amazon</t>
        </is>
      </c>
      <c r="E11" s="40" t="n">
        <v>6.6181</v>
      </c>
      <c r="F11" s="41" t="n">
        <v>0.240306</v>
      </c>
      <c r="G11" s="85" t="n">
        <v>8.4633</v>
      </c>
      <c r="H11" s="53" t="n">
        <v>0.279369</v>
      </c>
      <c r="I11" s="85" t="n">
        <v>4.7729</v>
      </c>
      <c r="J11" s="53" t="n">
        <v>0.192562</v>
      </c>
      <c r="K11" s="85" t="n">
        <v>5.647</v>
      </c>
      <c r="L11" s="53" t="n">
        <v>0.216434</v>
      </c>
      <c r="M11" s="85" t="n">
        <v>7.5893</v>
      </c>
      <c r="N11" s="53" t="n">
        <v>0.26179</v>
      </c>
      <c r="O11" s="85" t="n">
        <v>5.2411</v>
      </c>
      <c r="P11" s="53" t="n">
        <v>0.190306</v>
      </c>
      <c r="Q11" s="85" t="n">
        <v>7.9952</v>
      </c>
      <c r="R11" s="53" t="n">
        <v>0.290306</v>
      </c>
      <c r="S11" s="85" t="n">
        <v>5.5999</v>
      </c>
      <c r="T11" s="53" t="n">
        <v>0.203334</v>
      </c>
      <c r="U11" s="85" t="n">
        <v>7.6364</v>
      </c>
      <c r="V11" s="53" t="n">
        <v>0.277277</v>
      </c>
      <c r="W11" s="114" t="inlineStr">
        <is>
          <t>🔴 19.0%</t>
        </is>
      </c>
    </row>
    <row r="12" ht="20" customHeight="1">
      <c r="A12" s="62" t="inlineStr">
        <is>
          <t>SKU-002</t>
        </is>
      </c>
      <c r="B12" s="63" t="inlineStr">
        <is>
          <t>Hyaluronic Acid Moisturiser 50ml</t>
        </is>
      </c>
      <c r="C12" s="62" t="inlineStr">
        <is>
          <t>Moisturiser</t>
        </is>
      </c>
      <c r="D12" s="64" t="inlineStr">
        <is>
          <t>DTC</t>
        </is>
      </c>
      <c r="E12" s="40" t="n">
        <v>9.5284</v>
      </c>
      <c r="F12" s="41" t="n">
        <v>0.365197</v>
      </c>
      <c r="G12" s="85" t="n">
        <v>11.7748</v>
      </c>
      <c r="H12" s="53" t="n">
        <v>0.41027</v>
      </c>
      <c r="I12" s="85" t="n">
        <v>7.2819</v>
      </c>
      <c r="J12" s="53" t="n">
        <v>0.310108</v>
      </c>
      <c r="K12" s="85" t="n">
        <v>8.2803</v>
      </c>
      <c r="L12" s="53" t="n">
        <v>0.336032</v>
      </c>
      <c r="M12" s="85" t="n">
        <v>10.7764</v>
      </c>
      <c r="N12" s="53" t="n">
        <v>0.391292</v>
      </c>
      <c r="O12" s="85" t="n">
        <v>8.223800000000001</v>
      </c>
      <c r="P12" s="53" t="n">
        <v>0.315197</v>
      </c>
      <c r="Q12" s="85" t="n">
        <v>10.8329</v>
      </c>
      <c r="R12" s="53" t="n">
        <v>0.415197</v>
      </c>
      <c r="S12" s="85" t="n">
        <v>8.5596</v>
      </c>
      <c r="T12" s="53" t="n">
        <v>0.328068</v>
      </c>
      <c r="U12" s="85" t="n">
        <v>10.4971</v>
      </c>
      <c r="V12" s="53" t="n">
        <v>0.402326</v>
      </c>
      <c r="W12" s="115" t="inlineStr">
        <is>
          <t>⚙ 31.0%</t>
        </is>
      </c>
    </row>
    <row r="13" ht="20" customHeight="1">
      <c r="A13" s="48" t="inlineStr">
        <is>
          <t>SKU-003</t>
        </is>
      </c>
      <c r="B13" s="49" t="inlineStr">
        <is>
          <t>Retinol Night Cream 30ml</t>
        </is>
      </c>
      <c r="C13" s="48" t="inlineStr">
        <is>
          <t>Cream</t>
        </is>
      </c>
      <c r="D13" s="50" t="inlineStr">
        <is>
          <t>Amazon</t>
        </is>
      </c>
      <c r="E13" s="40" t="n">
        <v>11.6931</v>
      </c>
      <c r="F13" s="41" t="n">
        <v>0.286312</v>
      </c>
      <c r="G13" s="85" t="n">
        <v>14.4294</v>
      </c>
      <c r="H13" s="53" t="n">
        <v>0.321193</v>
      </c>
      <c r="I13" s="85" t="n">
        <v>8.956799999999999</v>
      </c>
      <c r="J13" s="53" t="n">
        <v>0.24368</v>
      </c>
      <c r="K13" s="85" t="n">
        <v>10.253</v>
      </c>
      <c r="L13" s="53" t="n">
        <v>0.264996</v>
      </c>
      <c r="M13" s="85" t="n">
        <v>13.1333</v>
      </c>
      <c r="N13" s="53" t="n">
        <v>0.305497</v>
      </c>
      <c r="O13" s="85" t="n">
        <v>9.6511</v>
      </c>
      <c r="P13" s="53" t="n">
        <v>0.236312</v>
      </c>
      <c r="Q13" s="85" t="n">
        <v>13.7352</v>
      </c>
      <c r="R13" s="53" t="n">
        <v>0.336312</v>
      </c>
      <c r="S13" s="85" t="n">
        <v>10.1829</v>
      </c>
      <c r="T13" s="53" t="n">
        <v>0.249334</v>
      </c>
      <c r="U13" s="85" t="n">
        <v>13.2034</v>
      </c>
      <c r="V13" s="53" t="n">
        <v>0.323291</v>
      </c>
      <c r="W13" s="114" t="inlineStr">
        <is>
          <t>🔴 23.6%</t>
        </is>
      </c>
    </row>
    <row r="14" ht="20" customHeight="1">
      <c r="A14" s="62" t="inlineStr">
        <is>
          <t>SKU-003</t>
        </is>
      </c>
      <c r="B14" s="63" t="inlineStr">
        <is>
          <t>Retinol Night Cream 30ml</t>
        </is>
      </c>
      <c r="C14" s="62" t="inlineStr">
        <is>
          <t>Cream</t>
        </is>
      </c>
      <c r="D14" s="64" t="inlineStr">
        <is>
          <t>DTC</t>
        </is>
      </c>
      <c r="E14" s="40" t="n">
        <v>16.634</v>
      </c>
      <c r="F14" s="41" t="n">
        <v>0.429918</v>
      </c>
      <c r="G14" s="85" t="n">
        <v>19.9652</v>
      </c>
      <c r="H14" s="53" t="n">
        <v>0.469107</v>
      </c>
      <c r="I14" s="85" t="n">
        <v>13.3027</v>
      </c>
      <c r="J14" s="53" t="n">
        <v>0.38202</v>
      </c>
      <c r="K14" s="85" t="n">
        <v>14.7832</v>
      </c>
      <c r="L14" s="53" t="n">
        <v>0.40456</v>
      </c>
      <c r="M14" s="85" t="n">
        <v>18.4847</v>
      </c>
      <c r="N14" s="53" t="n">
        <v>0.452606</v>
      </c>
      <c r="O14" s="85" t="n">
        <v>14.6994</v>
      </c>
      <c r="P14" s="53" t="n">
        <v>0.379918</v>
      </c>
      <c r="Q14" s="85" t="n">
        <v>18.5685</v>
      </c>
      <c r="R14" s="53" t="n">
        <v>0.479918</v>
      </c>
      <c r="S14" s="85" t="n">
        <v>15.1942</v>
      </c>
      <c r="T14" s="53" t="n">
        <v>0.392707</v>
      </c>
      <c r="U14" s="85" t="n">
        <v>18.0737</v>
      </c>
      <c r="V14" s="53" t="n">
        <v>0.467129</v>
      </c>
      <c r="W14" s="115" t="inlineStr">
        <is>
          <t>⚙ 38.0%</t>
        </is>
      </c>
    </row>
    <row r="15" ht="20" customHeight="1">
      <c r="A15" s="48" t="inlineStr">
        <is>
          <t>SKU-004</t>
        </is>
      </c>
      <c r="B15" s="49" t="inlineStr">
        <is>
          <t>SPF 50+ Daily Sunscreen 75ml</t>
        </is>
      </c>
      <c r="C15" s="48" t="inlineStr">
        <is>
          <t>Sunscreen</t>
        </is>
      </c>
      <c r="D15" s="50" t="inlineStr">
        <is>
          <t>Amazon</t>
        </is>
      </c>
      <c r="E15" s="40" t="n">
        <v>4.4771</v>
      </c>
      <c r="F15" s="41" t="n">
        <v>0.204992</v>
      </c>
      <c r="G15" s="85" t="n">
        <v>5.9404</v>
      </c>
      <c r="H15" s="53" t="n">
        <v>0.247266</v>
      </c>
      <c r="I15" s="85" t="n">
        <v>3.0138</v>
      </c>
      <c r="J15" s="53" t="n">
        <v>0.153325</v>
      </c>
      <c r="K15" s="85" t="n">
        <v>3.707</v>
      </c>
      <c r="L15" s="53" t="n">
        <v>0.179159</v>
      </c>
      <c r="M15" s="85" t="n">
        <v>5.2473</v>
      </c>
      <c r="N15" s="53" t="n">
        <v>0.228243</v>
      </c>
      <c r="O15" s="85" t="n">
        <v>3.3851</v>
      </c>
      <c r="P15" s="53" t="n">
        <v>0.154992</v>
      </c>
      <c r="Q15" s="85" t="n">
        <v>5.5692</v>
      </c>
      <c r="R15" s="53" t="n">
        <v>0.254992</v>
      </c>
      <c r="S15" s="85" t="n">
        <v>3.6689</v>
      </c>
      <c r="T15" s="53" t="n">
        <v>0.167987</v>
      </c>
      <c r="U15" s="85" t="n">
        <v>5.2853</v>
      </c>
      <c r="V15" s="53" t="n">
        <v>0.241998</v>
      </c>
      <c r="W15" s="114" t="inlineStr">
        <is>
          <t>🔴 15.3%</t>
        </is>
      </c>
    </row>
    <row r="16" ht="20" customHeight="1">
      <c r="A16" s="62" t="inlineStr">
        <is>
          <t>SKU-004</t>
        </is>
      </c>
      <c r="B16" s="63" t="inlineStr">
        <is>
          <t>SPF 50+ Daily Sunscreen 75ml</t>
        </is>
      </c>
      <c r="C16" s="62" t="inlineStr">
        <is>
          <t>Sunscreen</t>
        </is>
      </c>
      <c r="D16" s="64" t="inlineStr">
        <is>
          <t>DTC</t>
        </is>
      </c>
      <c r="E16" s="40" t="n">
        <v>6.518</v>
      </c>
      <c r="F16" s="41" t="n">
        <v>0.315014</v>
      </c>
      <c r="G16" s="85" t="n">
        <v>8.2994</v>
      </c>
      <c r="H16" s="53" t="n">
        <v>0.364649</v>
      </c>
      <c r="I16" s="85" t="n">
        <v>4.7365</v>
      </c>
      <c r="J16" s="53" t="n">
        <v>0.254349</v>
      </c>
      <c r="K16" s="85" t="n">
        <v>5.5282</v>
      </c>
      <c r="L16" s="53" t="n">
        <v>0.282897</v>
      </c>
      <c r="M16" s="85" t="n">
        <v>7.5077</v>
      </c>
      <c r="N16" s="53" t="n">
        <v>0.34375</v>
      </c>
      <c r="O16" s="85" t="n">
        <v>5.4834</v>
      </c>
      <c r="P16" s="53" t="n">
        <v>0.265014</v>
      </c>
      <c r="Q16" s="85" t="n">
        <v>7.5525</v>
      </c>
      <c r="R16" s="53" t="n">
        <v>0.365014</v>
      </c>
      <c r="S16" s="85" t="n">
        <v>5.7502</v>
      </c>
      <c r="T16" s="53" t="n">
        <v>0.277909</v>
      </c>
      <c r="U16" s="85" t="n">
        <v>7.2857</v>
      </c>
      <c r="V16" s="53" t="n">
        <v>0.352118</v>
      </c>
      <c r="W16" s="115" t="inlineStr">
        <is>
          <t>⚙ 25.4%</t>
        </is>
      </c>
    </row>
    <row r="17" ht="20" customHeight="1">
      <c r="A17" s="48" t="inlineStr">
        <is>
          <t>SKU-005</t>
        </is>
      </c>
      <c r="B17" s="49" t="inlineStr">
        <is>
          <t>AHA/BHA Exfoliating Toner 200ml</t>
        </is>
      </c>
      <c r="C17" s="48" t="inlineStr">
        <is>
          <t>Toner</t>
        </is>
      </c>
      <c r="D17" s="50" t="inlineStr">
        <is>
          <t>Amazon</t>
        </is>
      </c>
      <c r="E17" s="40" t="n">
        <v>6.0811</v>
      </c>
      <c r="F17" s="41" t="n">
        <v>0.237169</v>
      </c>
      <c r="G17" s="85" t="n">
        <v>7.799</v>
      </c>
      <c r="H17" s="53" t="n">
        <v>0.276517</v>
      </c>
      <c r="I17" s="85" t="n">
        <v>4.3632</v>
      </c>
      <c r="J17" s="53" t="n">
        <v>0.189077</v>
      </c>
      <c r="K17" s="85" t="n">
        <v>5.177</v>
      </c>
      <c r="L17" s="53" t="n">
        <v>0.213123</v>
      </c>
      <c r="M17" s="85" t="n">
        <v>6.9853</v>
      </c>
      <c r="N17" s="53" t="n">
        <v>0.258811</v>
      </c>
      <c r="O17" s="85" t="n">
        <v>4.7991</v>
      </c>
      <c r="P17" s="53" t="n">
        <v>0.187169</v>
      </c>
      <c r="Q17" s="85" t="n">
        <v>7.3632</v>
      </c>
      <c r="R17" s="53" t="n">
        <v>0.287169</v>
      </c>
      <c r="S17" s="85" t="n">
        <v>5.1379</v>
      </c>
      <c r="T17" s="53" t="n">
        <v>0.200383</v>
      </c>
      <c r="U17" s="85" t="n">
        <v>7.0243</v>
      </c>
      <c r="V17" s="53" t="n">
        <v>0.273955</v>
      </c>
      <c r="W17" s="114" t="inlineStr">
        <is>
          <t>🔴 18.7%</t>
        </is>
      </c>
    </row>
    <row r="18" ht="20" customHeight="1">
      <c r="A18" s="62" t="inlineStr">
        <is>
          <t>SKU-005</t>
        </is>
      </c>
      <c r="B18" s="63" t="inlineStr">
        <is>
          <t>AHA/BHA Exfoliating Toner 200ml</t>
        </is>
      </c>
      <c r="C18" s="62" t="inlineStr">
        <is>
          <t>Toner</t>
        </is>
      </c>
      <c r="D18" s="64" t="inlineStr">
        <is>
          <t>DTC</t>
        </is>
      </c>
      <c r="E18" s="40" t="n">
        <v>8.6966</v>
      </c>
      <c r="F18" s="41" t="n">
        <v>0.358015</v>
      </c>
      <c r="G18" s="85" t="n">
        <v>10.788</v>
      </c>
      <c r="H18" s="53" t="n">
        <v>0.403741</v>
      </c>
      <c r="I18" s="85" t="n">
        <v>6.6051</v>
      </c>
      <c r="J18" s="53" t="n">
        <v>0.302128</v>
      </c>
      <c r="K18" s="85" t="n">
        <v>7.5346</v>
      </c>
      <c r="L18" s="53" t="n">
        <v>0.328428</v>
      </c>
      <c r="M18" s="85" t="n">
        <v>9.858499999999999</v>
      </c>
      <c r="N18" s="53" t="n">
        <v>0.384488</v>
      </c>
      <c r="O18" s="85" t="n">
        <v>7.482</v>
      </c>
      <c r="P18" s="53" t="n">
        <v>0.308015</v>
      </c>
      <c r="Q18" s="85" t="n">
        <v>9.911099999999999</v>
      </c>
      <c r="R18" s="53" t="n">
        <v>0.408015</v>
      </c>
      <c r="S18" s="85" t="n">
        <v>7.7998</v>
      </c>
      <c r="T18" s="53" t="n">
        <v>0.321099</v>
      </c>
      <c r="U18" s="85" t="n">
        <v>9.593299999999999</v>
      </c>
      <c r="V18" s="53" t="n">
        <v>0.394931</v>
      </c>
      <c r="W18" s="115" t="inlineStr">
        <is>
          <t>⚙ 30.2%</t>
        </is>
      </c>
    </row>
    <row r="19" ht="20" customHeight="1">
      <c r="A19" s="48" t="inlineStr">
        <is>
          <t>SKU-006</t>
        </is>
      </c>
      <c r="B19" s="49" t="inlineStr">
        <is>
          <t>Niacinamide Pore Minimiser Serum</t>
        </is>
      </c>
      <c r="C19" s="48" t="inlineStr">
        <is>
          <t>Serum</t>
        </is>
      </c>
      <c r="D19" s="50" t="inlineStr">
        <is>
          <t>Amazon</t>
        </is>
      </c>
      <c r="E19" s="40" t="n">
        <v>7.7476</v>
      </c>
      <c r="F19" s="41" t="n">
        <v>0.254936</v>
      </c>
      <c r="G19" s="85" t="n">
        <v>9.783799999999999</v>
      </c>
      <c r="H19" s="53" t="n">
        <v>0.292669</v>
      </c>
      <c r="I19" s="85" t="n">
        <v>5.7115</v>
      </c>
      <c r="J19" s="53" t="n">
        <v>0.208818</v>
      </c>
      <c r="K19" s="85" t="n">
        <v>6.676</v>
      </c>
      <c r="L19" s="53" t="n">
        <v>0.231877</v>
      </c>
      <c r="M19" s="85" t="n">
        <v>8.8193</v>
      </c>
      <c r="N19" s="53" t="n">
        <v>0.275689</v>
      </c>
      <c r="O19" s="85" t="n">
        <v>6.2281</v>
      </c>
      <c r="P19" s="53" t="n">
        <v>0.204936</v>
      </c>
      <c r="Q19" s="85" t="n">
        <v>9.267200000000001</v>
      </c>
      <c r="R19" s="53" t="n">
        <v>0.304936</v>
      </c>
      <c r="S19" s="85" t="n">
        <v>6.6289</v>
      </c>
      <c r="T19" s="53" t="n">
        <v>0.218125</v>
      </c>
      <c r="U19" s="85" t="n">
        <v>8.866300000000001</v>
      </c>
      <c r="V19" s="53" t="n">
        <v>0.291747</v>
      </c>
      <c r="W19" s="114" t="inlineStr">
        <is>
          <t>🔴 20.5%</t>
        </is>
      </c>
    </row>
    <row r="20" ht="20" customHeight="1">
      <c r="A20" s="62" t="inlineStr">
        <is>
          <t>SKU-006</t>
        </is>
      </c>
      <c r="B20" s="63" t="inlineStr">
        <is>
          <t>Niacinamide Pore Minimiser Serum</t>
        </is>
      </c>
      <c r="C20" s="62" t="inlineStr">
        <is>
          <t>Serum</t>
        </is>
      </c>
      <c r="D20" s="64" t="inlineStr">
        <is>
          <t>DTC</t>
        </is>
      </c>
      <c r="E20" s="40" t="n">
        <v>11.0881</v>
      </c>
      <c r="F20" s="41" t="n">
        <v>0.385122</v>
      </c>
      <c r="G20" s="85" t="n">
        <v>13.567</v>
      </c>
      <c r="H20" s="53" t="n">
        <v>0.428384</v>
      </c>
      <c r="I20" s="85" t="n">
        <v>8.6091</v>
      </c>
      <c r="J20" s="53" t="n">
        <v>0.332247</v>
      </c>
      <c r="K20" s="85" t="n">
        <v>9.710900000000001</v>
      </c>
      <c r="L20" s="53" t="n">
        <v>0.357129</v>
      </c>
      <c r="M20" s="85" t="n">
        <v>12.4652</v>
      </c>
      <c r="N20" s="53" t="n">
        <v>0.410168</v>
      </c>
      <c r="O20" s="85" t="n">
        <v>9.6485</v>
      </c>
      <c r="P20" s="53" t="n">
        <v>0.335122</v>
      </c>
      <c r="Q20" s="85" t="n">
        <v>12.5276</v>
      </c>
      <c r="R20" s="53" t="n">
        <v>0.435122</v>
      </c>
      <c r="S20" s="85" t="n">
        <v>10.0233</v>
      </c>
      <c r="T20" s="53" t="n">
        <v>0.348141</v>
      </c>
      <c r="U20" s="85" t="n">
        <v>12.1528</v>
      </c>
      <c r="V20" s="53" t="n">
        <v>0.422103</v>
      </c>
      <c r="W20" s="115" t="inlineStr">
        <is>
          <t>⚙ 33.2%</t>
        </is>
      </c>
    </row>
    <row r="21" ht="20" customHeight="1">
      <c r="A21" s="48" t="inlineStr">
        <is>
          <t>SKU-007</t>
        </is>
      </c>
      <c r="B21" s="49" t="inlineStr">
        <is>
          <t>Collagen Boosting Eye Cream 15ml</t>
        </is>
      </c>
      <c r="C21" s="48" t="inlineStr">
        <is>
          <t>Eye Care</t>
        </is>
      </c>
      <c r="D21" s="50" t="inlineStr">
        <is>
          <t>Amazon</t>
        </is>
      </c>
      <c r="E21" s="40" t="n">
        <v>10.6251</v>
      </c>
      <c r="F21" s="41" t="n">
        <v>0.286852</v>
      </c>
      <c r="G21" s="85" t="n">
        <v>13.1068</v>
      </c>
      <c r="H21" s="53" t="n">
        <v>0.321683</v>
      </c>
      <c r="I21" s="85" t="n">
        <v>8.1434</v>
      </c>
      <c r="J21" s="53" t="n">
        <v>0.24428</v>
      </c>
      <c r="K21" s="85" t="n">
        <v>9.319000000000001</v>
      </c>
      <c r="L21" s="53" t="n">
        <v>0.265566</v>
      </c>
      <c r="M21" s="85" t="n">
        <v>11.9313</v>
      </c>
      <c r="N21" s="53" t="n">
        <v>0.306009</v>
      </c>
      <c r="O21" s="85" t="n">
        <v>8.773099999999999</v>
      </c>
      <c r="P21" s="53" t="n">
        <v>0.236852</v>
      </c>
      <c r="Q21" s="85" t="n">
        <v>12.4772</v>
      </c>
      <c r="R21" s="53" t="n">
        <v>0.336852</v>
      </c>
      <c r="S21" s="85" t="n">
        <v>9.267899999999999</v>
      </c>
      <c r="T21" s="53" t="n">
        <v>0.25021</v>
      </c>
      <c r="U21" s="85" t="n">
        <v>11.9823</v>
      </c>
      <c r="V21" s="53" t="n">
        <v>0.323493</v>
      </c>
      <c r="W21" s="114" t="inlineStr">
        <is>
          <t>🔴 23.7%</t>
        </is>
      </c>
    </row>
    <row r="22" ht="20" customHeight="1">
      <c r="A22" s="62" t="inlineStr">
        <is>
          <t>SKU-007</t>
        </is>
      </c>
      <c r="B22" s="63" t="inlineStr">
        <is>
          <t>Collagen Boosting Eye Cream 15ml</t>
        </is>
      </c>
      <c r="C22" s="62" t="inlineStr">
        <is>
          <t>Eye Care</t>
        </is>
      </c>
      <c r="D22" s="64" t="inlineStr">
        <is>
          <t>DTC</t>
        </is>
      </c>
      <c r="E22" s="40" t="n">
        <v>14.9734</v>
      </c>
      <c r="F22" s="41" t="n">
        <v>0.426701</v>
      </c>
      <c r="G22" s="85" t="n">
        <v>17.9947</v>
      </c>
      <c r="H22" s="53" t="n">
        <v>0.466182</v>
      </c>
      <c r="I22" s="85" t="n">
        <v>11.952</v>
      </c>
      <c r="J22" s="53" t="n">
        <v>0.378445</v>
      </c>
      <c r="K22" s="85" t="n">
        <v>13.2948</v>
      </c>
      <c r="L22" s="53" t="n">
        <v>0.401154</v>
      </c>
      <c r="M22" s="85" t="n">
        <v>16.6519</v>
      </c>
      <c r="N22" s="53" t="n">
        <v>0.449558</v>
      </c>
      <c r="O22" s="85" t="n">
        <v>13.2188</v>
      </c>
      <c r="P22" s="53" t="n">
        <v>0.376701</v>
      </c>
      <c r="Q22" s="85" t="n">
        <v>16.7279</v>
      </c>
      <c r="R22" s="53" t="n">
        <v>0.476701</v>
      </c>
      <c r="S22" s="85" t="n">
        <v>13.6806</v>
      </c>
      <c r="T22" s="53" t="n">
        <v>0.389861</v>
      </c>
      <c r="U22" s="85" t="n">
        <v>16.2661</v>
      </c>
      <c r="V22" s="53" t="n">
        <v>0.46354</v>
      </c>
      <c r="W22" s="115" t="inlineStr">
        <is>
          <t>⚙ 37.7%</t>
        </is>
      </c>
    </row>
    <row r="23" ht="20" customHeight="1">
      <c r="A23" s="48" t="inlineStr">
        <is>
          <t>SKU-008</t>
        </is>
      </c>
      <c r="B23" s="49" t="inlineStr">
        <is>
          <t>Rose Hip Facial Oil 30ml</t>
        </is>
      </c>
      <c r="C23" s="48" t="inlineStr">
        <is>
          <t>Facial Oil</t>
        </is>
      </c>
      <c r="D23" s="50" t="inlineStr">
        <is>
          <t>Amazon</t>
        </is>
      </c>
      <c r="E23" s="40" t="n">
        <v>9.239599999999999</v>
      </c>
      <c r="F23" s="41" t="n">
        <v>0.27024</v>
      </c>
      <c r="G23" s="85" t="n">
        <v>11.5304</v>
      </c>
      <c r="H23" s="53" t="n">
        <v>0.306582</v>
      </c>
      <c r="I23" s="85" t="n">
        <v>6.9489</v>
      </c>
      <c r="J23" s="53" t="n">
        <v>0.225822</v>
      </c>
      <c r="K23" s="85" t="n">
        <v>8.034000000000001</v>
      </c>
      <c r="L23" s="53" t="n">
        <v>0.248031</v>
      </c>
      <c r="M23" s="85" t="n">
        <v>10.4453</v>
      </c>
      <c r="N23" s="53" t="n">
        <v>0.290228</v>
      </c>
      <c r="O23" s="85" t="n">
        <v>7.5301</v>
      </c>
      <c r="P23" s="53" t="n">
        <v>0.22024</v>
      </c>
      <c r="Q23" s="85" t="n">
        <v>10.9492</v>
      </c>
      <c r="R23" s="53" t="n">
        <v>0.32024</v>
      </c>
      <c r="S23" s="85" t="n">
        <v>7.9799</v>
      </c>
      <c r="T23" s="53" t="n">
        <v>0.233396</v>
      </c>
      <c r="U23" s="85" t="n">
        <v>10.4993</v>
      </c>
      <c r="V23" s="53" t="n">
        <v>0.307084</v>
      </c>
      <c r="W23" s="114" t="inlineStr">
        <is>
          <t>🔴 22.0%</t>
        </is>
      </c>
    </row>
    <row r="24" ht="20" customHeight="1">
      <c r="A24" s="62" t="inlineStr">
        <is>
          <t>SKU-008</t>
        </is>
      </c>
      <c r="B24" s="63" t="inlineStr">
        <is>
          <t>Rose Hip Facial Oil 30ml</t>
        </is>
      </c>
      <c r="C24" s="62" t="inlineStr">
        <is>
          <t>Facial Oil</t>
        </is>
      </c>
      <c r="D24" s="64" t="inlineStr">
        <is>
          <t>DTC</t>
        </is>
      </c>
      <c r="E24" s="40" t="n">
        <v>13.1607</v>
      </c>
      <c r="F24" s="41" t="n">
        <v>0.406306</v>
      </c>
      <c r="G24" s="85" t="n">
        <v>15.9495</v>
      </c>
      <c r="H24" s="53" t="n">
        <v>0.447642</v>
      </c>
      <c r="I24" s="85" t="n">
        <v>10.3718</v>
      </c>
      <c r="J24" s="53" t="n">
        <v>0.355784</v>
      </c>
      <c r="K24" s="85" t="n">
        <v>11.6113</v>
      </c>
      <c r="L24" s="53" t="n">
        <v>0.379559</v>
      </c>
      <c r="M24" s="85" t="n">
        <v>14.71</v>
      </c>
      <c r="N24" s="53" t="n">
        <v>0.430237</v>
      </c>
      <c r="O24" s="85" t="n">
        <v>11.5411</v>
      </c>
      <c r="P24" s="53" t="n">
        <v>0.356306</v>
      </c>
      <c r="Q24" s="85" t="n">
        <v>14.7802</v>
      </c>
      <c r="R24" s="53" t="n">
        <v>0.456306</v>
      </c>
      <c r="S24" s="85" t="n">
        <v>11.9609</v>
      </c>
      <c r="T24" s="53" t="n">
        <v>0.369267</v>
      </c>
      <c r="U24" s="85" t="n">
        <v>14.3604</v>
      </c>
      <c r="V24" s="53" t="n">
        <v>0.443345</v>
      </c>
      <c r="W24" s="115" t="inlineStr">
        <is>
          <t>⚙ 35.6%</t>
        </is>
      </c>
    </row>
    <row r="25" ht="20" customHeight="1">
      <c r="A25" s="48" t="inlineStr">
        <is>
          <t>SKU-009</t>
        </is>
      </c>
      <c r="B25" s="49" t="inlineStr">
        <is>
          <t>Ceramide Barrier Repair Cream 50ml</t>
        </is>
      </c>
      <c r="C25" s="48" t="inlineStr">
        <is>
          <t>Cream</t>
        </is>
      </c>
      <c r="D25" s="50" t="inlineStr">
        <is>
          <t>Amazon</t>
        </is>
      </c>
      <c r="E25" s="40" t="n">
        <v>6.9926</v>
      </c>
      <c r="F25" s="41" t="n">
        <v>0.245437</v>
      </c>
      <c r="G25" s="85" t="n">
        <v>8.9015</v>
      </c>
      <c r="H25" s="53" t="n">
        <v>0.284034</v>
      </c>
      <c r="I25" s="85" t="n">
        <v>5.0838</v>
      </c>
      <c r="J25" s="53" t="n">
        <v>0.198264</v>
      </c>
      <c r="K25" s="85" t="n">
        <v>5.988</v>
      </c>
      <c r="L25" s="53" t="n">
        <v>0.221851</v>
      </c>
      <c r="M25" s="85" t="n">
        <v>7.9973</v>
      </c>
      <c r="N25" s="53" t="n">
        <v>0.266666</v>
      </c>
      <c r="O25" s="85" t="n">
        <v>5.5681</v>
      </c>
      <c r="P25" s="53" t="n">
        <v>0.195437</v>
      </c>
      <c r="Q25" s="85" t="n">
        <v>8.417199999999999</v>
      </c>
      <c r="R25" s="53" t="n">
        <v>0.295437</v>
      </c>
      <c r="S25" s="85" t="n">
        <v>5.9399</v>
      </c>
      <c r="T25" s="53" t="n">
        <v>0.208488</v>
      </c>
      <c r="U25" s="85" t="n">
        <v>8.045299999999999</v>
      </c>
      <c r="V25" s="53" t="n">
        <v>0.282387</v>
      </c>
      <c r="W25" s="114" t="inlineStr">
        <is>
          <t>🔴 19.5%</t>
        </is>
      </c>
    </row>
    <row r="26" ht="20" customHeight="1">
      <c r="A26" s="62" t="inlineStr">
        <is>
          <t>SKU-009</t>
        </is>
      </c>
      <c r="B26" s="63" t="inlineStr">
        <is>
          <t>Ceramide Barrier Repair Cream 50ml</t>
        </is>
      </c>
      <c r="C26" s="62" t="inlineStr">
        <is>
          <t>Cream</t>
        </is>
      </c>
      <c r="D26" s="64" t="inlineStr">
        <is>
          <t>DTC</t>
        </is>
      </c>
      <c r="E26" s="40" t="n">
        <v>10.0473</v>
      </c>
      <c r="F26" s="41" t="n">
        <v>0.372244</v>
      </c>
      <c r="G26" s="85" t="n">
        <v>12.3712</v>
      </c>
      <c r="H26" s="53" t="n">
        <v>0.416677</v>
      </c>
      <c r="I26" s="85" t="n">
        <v>7.7233</v>
      </c>
      <c r="J26" s="53" t="n">
        <v>0.317938</v>
      </c>
      <c r="K26" s="85" t="n">
        <v>8.7562</v>
      </c>
      <c r="L26" s="53" t="n">
        <v>0.343494</v>
      </c>
      <c r="M26" s="85" t="n">
        <v>11.3383</v>
      </c>
      <c r="N26" s="53" t="n">
        <v>0.397968</v>
      </c>
      <c r="O26" s="85" t="n">
        <v>8.697699999999999</v>
      </c>
      <c r="P26" s="53" t="n">
        <v>0.322244</v>
      </c>
      <c r="Q26" s="85" t="n">
        <v>11.3968</v>
      </c>
      <c r="R26" s="53" t="n">
        <v>0.422244</v>
      </c>
      <c r="S26" s="85" t="n">
        <v>9.045500000000001</v>
      </c>
      <c r="T26" s="53" t="n">
        <v>0.335131</v>
      </c>
      <c r="U26" s="85" t="n">
        <v>11.049</v>
      </c>
      <c r="V26" s="53" t="n">
        <v>0.409358</v>
      </c>
      <c r="W26" s="115" t="inlineStr">
        <is>
          <t>⚙ 31.8%</t>
        </is>
      </c>
    </row>
    <row r="27" ht="20" customHeight="1">
      <c r="A27" s="48" t="inlineStr">
        <is>
          <t>SKU-010</t>
        </is>
      </c>
      <c r="B27" s="49" t="inlineStr">
        <is>
          <t>Micellar Cleansing Water 250ml</t>
        </is>
      </c>
      <c r="C27" s="48" t="inlineStr">
        <is>
          <t>Cleanser</t>
        </is>
      </c>
      <c r="D27" s="50" t="inlineStr">
        <is>
          <t>Amazon</t>
        </is>
      </c>
      <c r="E27" s="40" t="n">
        <v>3.0851</v>
      </c>
      <c r="F27" s="41" t="n">
        <v>0.171012</v>
      </c>
      <c r="G27" s="85" t="n">
        <v>4.2938</v>
      </c>
      <c r="H27" s="53" t="n">
        <v>0.216374</v>
      </c>
      <c r="I27" s="85" t="n">
        <v>1.8764</v>
      </c>
      <c r="J27" s="53" t="n">
        <v>0.115568</v>
      </c>
      <c r="K27" s="85" t="n">
        <v>2.449</v>
      </c>
      <c r="L27" s="53" t="n">
        <v>0.14329</v>
      </c>
      <c r="M27" s="85" t="n">
        <v>3.7213</v>
      </c>
      <c r="N27" s="53" t="n">
        <v>0.195961</v>
      </c>
      <c r="O27" s="85" t="n">
        <v>2.1831</v>
      </c>
      <c r="P27" s="53" t="n">
        <v>0.121012</v>
      </c>
      <c r="Q27" s="85" t="n">
        <v>3.9872</v>
      </c>
      <c r="R27" s="53" t="n">
        <v>0.221012</v>
      </c>
      <c r="S27" s="85" t="n">
        <v>2.4179</v>
      </c>
      <c r="T27" s="53" t="n">
        <v>0.134027</v>
      </c>
      <c r="U27" s="85" t="n">
        <v>3.7523</v>
      </c>
      <c r="V27" s="53" t="n">
        <v>0.207996</v>
      </c>
      <c r="W27" s="114" t="inlineStr">
        <is>
          <t>🔴 11.6%</t>
        </is>
      </c>
    </row>
    <row r="28" ht="20" customHeight="1">
      <c r="A28" s="62" t="inlineStr">
        <is>
          <t>SKU-010</t>
        </is>
      </c>
      <c r="B28" s="63" t="inlineStr">
        <is>
          <t>Micellar Cleansing Water 250ml</t>
        </is>
      </c>
      <c r="C28" s="62" t="inlineStr">
        <is>
          <t>Cleanser</t>
        </is>
      </c>
      <c r="D28" s="64" t="inlineStr">
        <is>
          <t>DTC</t>
        </is>
      </c>
      <c r="E28" s="40" t="n">
        <v>4.5454</v>
      </c>
      <c r="F28" s="41" t="n">
        <v>0.26595</v>
      </c>
      <c r="G28" s="85" t="n">
        <v>6.0169</v>
      </c>
      <c r="H28" s="53" t="n">
        <v>0.320045</v>
      </c>
      <c r="I28" s="85" t="n">
        <v>3.0738</v>
      </c>
      <c r="J28" s="53" t="n">
        <v>0.199833</v>
      </c>
      <c r="K28" s="85" t="n">
        <v>3.7278</v>
      </c>
      <c r="L28" s="53" t="n">
        <v>0.230947</v>
      </c>
      <c r="M28" s="85" t="n">
        <v>5.3629</v>
      </c>
      <c r="N28" s="53" t="n">
        <v>0.297268</v>
      </c>
      <c r="O28" s="85" t="n">
        <v>3.6908</v>
      </c>
      <c r="P28" s="53" t="n">
        <v>0.21595</v>
      </c>
      <c r="Q28" s="85" t="n">
        <v>5.3999</v>
      </c>
      <c r="R28" s="53" t="n">
        <v>0.31595</v>
      </c>
      <c r="S28" s="85" t="n">
        <v>3.9126</v>
      </c>
      <c r="T28" s="53" t="n">
        <v>0.228929</v>
      </c>
      <c r="U28" s="85" t="n">
        <v>5.1781</v>
      </c>
      <c r="V28" s="53" t="n">
        <v>0.302971</v>
      </c>
      <c r="W28" s="114" t="inlineStr">
        <is>
          <t>🔴 20.0%</t>
        </is>
      </c>
    </row>
    <row r="29" ht="20" customHeight="1">
      <c r="A29" s="48" t="inlineStr">
        <is>
          <t>SKU-011</t>
        </is>
      </c>
      <c r="B29" s="49" t="inlineStr">
        <is>
          <t>Peptide Firming Serum 30ml</t>
        </is>
      </c>
      <c r="C29" s="48" t="inlineStr">
        <is>
          <t>Serum</t>
        </is>
      </c>
      <c r="D29" s="50" t="inlineStr">
        <is>
          <t>Amazon</t>
        </is>
      </c>
      <c r="E29" s="40" t="n">
        <v>12.2801</v>
      </c>
      <c r="F29" s="41" t="n">
        <v>0.287318</v>
      </c>
      <c r="G29" s="85" t="n">
        <v>15.1437</v>
      </c>
      <c r="H29" s="53" t="n">
        <v>0.322108</v>
      </c>
      <c r="I29" s="85" t="n">
        <v>9.416499999999999</v>
      </c>
      <c r="J29" s="53" t="n">
        <v>0.244798</v>
      </c>
      <c r="K29" s="85" t="n">
        <v>10.773</v>
      </c>
      <c r="L29" s="53" t="n">
        <v>0.266058</v>
      </c>
      <c r="M29" s="85" t="n">
        <v>13.7873</v>
      </c>
      <c r="N29" s="53" t="n">
        <v>0.306453</v>
      </c>
      <c r="O29" s="85" t="n">
        <v>10.1431</v>
      </c>
      <c r="P29" s="53" t="n">
        <v>0.237318</v>
      </c>
      <c r="Q29" s="85" t="n">
        <v>14.4172</v>
      </c>
      <c r="R29" s="53" t="n">
        <v>0.337318</v>
      </c>
      <c r="S29" s="85" t="n">
        <v>10.6949</v>
      </c>
      <c r="T29" s="53" t="n">
        <v>0.250229</v>
      </c>
      <c r="U29" s="85" t="n">
        <v>13.8653</v>
      </c>
      <c r="V29" s="53" t="n">
        <v>0.324408</v>
      </c>
      <c r="W29" s="114" t="inlineStr">
        <is>
          <t>🔴 23.7%</t>
        </is>
      </c>
    </row>
    <row r="30" ht="20" customHeight="1">
      <c r="A30" s="62" t="inlineStr">
        <is>
          <t>SKU-011</t>
        </is>
      </c>
      <c r="B30" s="63" t="inlineStr">
        <is>
          <t>Peptide Firming Serum 30ml</t>
        </is>
      </c>
      <c r="C30" s="62" t="inlineStr">
        <is>
          <t>Serum</t>
        </is>
      </c>
      <c r="D30" s="64" t="inlineStr">
        <is>
          <t>DTC</t>
        </is>
      </c>
      <c r="E30" s="40" t="n">
        <v>17.5158</v>
      </c>
      <c r="F30" s="41" t="n">
        <v>0.432584</v>
      </c>
      <c r="G30" s="85" t="n">
        <v>21.002</v>
      </c>
      <c r="H30" s="53" t="n">
        <v>0.471531</v>
      </c>
      <c r="I30" s="85" t="n">
        <v>14.0295</v>
      </c>
      <c r="J30" s="53" t="n">
        <v>0.384982</v>
      </c>
      <c r="K30" s="85" t="n">
        <v>15.5789</v>
      </c>
      <c r="L30" s="53" t="n">
        <v>0.407383</v>
      </c>
      <c r="M30" s="85" t="n">
        <v>19.4526</v>
      </c>
      <c r="N30" s="53" t="n">
        <v>0.455132</v>
      </c>
      <c r="O30" s="85" t="n">
        <v>15.4912</v>
      </c>
      <c r="P30" s="53" t="n">
        <v>0.382584</v>
      </c>
      <c r="Q30" s="85" t="n">
        <v>19.5403</v>
      </c>
      <c r="R30" s="53" t="n">
        <v>0.482584</v>
      </c>
      <c r="S30" s="85" t="n">
        <v>16.004</v>
      </c>
      <c r="T30" s="53" t="n">
        <v>0.395249</v>
      </c>
      <c r="U30" s="85" t="n">
        <v>19.0275</v>
      </c>
      <c r="V30" s="53" t="n">
        <v>0.469919</v>
      </c>
      <c r="W30" s="115" t="inlineStr">
        <is>
          <t>⚙ 38.3%</t>
        </is>
      </c>
    </row>
    <row r="31" ht="20" customHeight="1">
      <c r="A31" s="48" t="inlineStr">
        <is>
          <t>SKU-012</t>
        </is>
      </c>
      <c r="B31" s="49" t="inlineStr">
        <is>
          <t>Gentle Foaming Cleanser 150ml</t>
        </is>
      </c>
      <c r="C31" s="48" t="inlineStr">
        <is>
          <t>Cleanser</t>
        </is>
      </c>
      <c r="D31" s="50" t="inlineStr">
        <is>
          <t>Amazon</t>
        </is>
      </c>
      <c r="E31" s="40" t="n">
        <v>3.3036</v>
      </c>
      <c r="F31" s="41" t="n">
        <v>0.173963</v>
      </c>
      <c r="G31" s="85" t="n">
        <v>4.576</v>
      </c>
      <c r="H31" s="53" t="n">
        <v>0.219057</v>
      </c>
      <c r="I31" s="85" t="n">
        <v>2.0313</v>
      </c>
      <c r="J31" s="53" t="n">
        <v>0.118847</v>
      </c>
      <c r="K31" s="85" t="n">
        <v>2.634</v>
      </c>
      <c r="L31" s="53" t="n">
        <v>0.146405</v>
      </c>
      <c r="M31" s="85" t="n">
        <v>3.9733</v>
      </c>
      <c r="N31" s="53" t="n">
        <v>0.198764</v>
      </c>
      <c r="O31" s="85" t="n">
        <v>2.3541</v>
      </c>
      <c r="P31" s="53" t="n">
        <v>0.123963</v>
      </c>
      <c r="Q31" s="85" t="n">
        <v>4.2532</v>
      </c>
      <c r="R31" s="53" t="n">
        <v>0.223963</v>
      </c>
      <c r="S31" s="85" t="n">
        <v>2.5989</v>
      </c>
      <c r="T31" s="53" t="n">
        <v>0.136854</v>
      </c>
      <c r="U31" s="85" t="n">
        <v>4.0083</v>
      </c>
      <c r="V31" s="53" t="n">
        <v>0.211071</v>
      </c>
      <c r="W31" s="114" t="inlineStr">
        <is>
          <t>🔴 11.9%</t>
        </is>
      </c>
    </row>
    <row r="32" ht="20" customHeight="1">
      <c r="A32" s="62" t="inlineStr">
        <is>
          <t>SKU-012</t>
        </is>
      </c>
      <c r="B32" s="63" t="inlineStr">
        <is>
          <t>Gentle Foaming Cleanser 150ml</t>
        </is>
      </c>
      <c r="C32" s="62" t="inlineStr">
        <is>
          <t>Cleanser</t>
        </is>
      </c>
      <c r="D32" s="64" t="inlineStr">
        <is>
          <t>DTC</t>
        </is>
      </c>
      <c r="E32" s="40" t="n">
        <v>4.9113</v>
      </c>
      <c r="F32" s="41" t="n">
        <v>0.272984</v>
      </c>
      <c r="G32" s="85" t="n">
        <v>6.4603</v>
      </c>
      <c r="H32" s="53" t="n">
        <v>0.32644</v>
      </c>
      <c r="I32" s="85" t="n">
        <v>3.3622</v>
      </c>
      <c r="J32" s="53" t="n">
        <v>0.207649</v>
      </c>
      <c r="K32" s="85" t="n">
        <v>4.0507</v>
      </c>
      <c r="L32" s="53" t="n">
        <v>0.238395</v>
      </c>
      <c r="M32" s="85" t="n">
        <v>5.7718</v>
      </c>
      <c r="N32" s="53" t="n">
        <v>0.303932</v>
      </c>
      <c r="O32" s="85" t="n">
        <v>4.0117</v>
      </c>
      <c r="P32" s="53" t="n">
        <v>0.222984</v>
      </c>
      <c r="Q32" s="85" t="n">
        <v>5.8108</v>
      </c>
      <c r="R32" s="53" t="n">
        <v>0.322984</v>
      </c>
      <c r="S32" s="85" t="n">
        <v>4.2425</v>
      </c>
      <c r="T32" s="53" t="n">
        <v>0.235814</v>
      </c>
      <c r="U32" s="85" t="n">
        <v>5.58</v>
      </c>
      <c r="V32" s="53" t="n">
        <v>0.310154</v>
      </c>
      <c r="W32" s="114" t="inlineStr">
        <is>
          <t>🔴 20.8%</t>
        </is>
      </c>
    </row>
    <row r="34">
      <c r="A34" s="19" t="inlineStr">
        <is>
          <t>Scenarios built dynamically from config.json (9 total). Worst Case = min CM% across all scenarios per SKU × Channel. Returns model: expected-value based (rate × economics) - correct for scenario analysis.</t>
        </is>
      </c>
    </row>
  </sheetData>
  <mergeCells count="14">
    <mergeCell ref="A2:F2"/>
    <mergeCell ref="M7:N7"/>
    <mergeCell ref="K7:L7"/>
    <mergeCell ref="A1:W1"/>
    <mergeCell ref="O7:P7"/>
    <mergeCell ref="Q7:R7"/>
    <mergeCell ref="G7:H7"/>
    <mergeCell ref="E7:F7"/>
    <mergeCell ref="S7:T7"/>
    <mergeCell ref="I7:J7"/>
    <mergeCell ref="A1:F1"/>
    <mergeCell ref="A34:W34"/>
    <mergeCell ref="A7:D7"/>
    <mergeCell ref="U7:V7"/>
  </mergeCells>
  <conditionalFormatting sqref="F9:F32">
    <cfRule type="colorScale" priority="1">
      <colorScale>
        <cfvo type="num" val="0"/>
        <cfvo type="num" val="0.3"/>
        <cfvo type="num" val="0.55"/>
        <color rgb="00FCE4D6"/>
        <color rgb="00FFEB9C"/>
        <color rgb="00C6EFCE"/>
      </colorScale>
    </cfRule>
  </conditionalFormatting>
  <conditionalFormatting sqref="H9:H32">
    <cfRule type="colorScale" priority="2">
      <colorScale>
        <cfvo type="num" val="0"/>
        <cfvo type="num" val="0.3"/>
        <cfvo type="num" val="0.55"/>
        <color rgb="00FCE4D6"/>
        <color rgb="00FFEB9C"/>
        <color rgb="00C6EFCE"/>
      </colorScale>
    </cfRule>
  </conditionalFormatting>
  <conditionalFormatting sqref="J9:J32">
    <cfRule type="colorScale" priority="3">
      <colorScale>
        <cfvo type="num" val="0"/>
        <cfvo type="num" val="0.3"/>
        <cfvo type="num" val="0.55"/>
        <color rgb="00FCE4D6"/>
        <color rgb="00FFEB9C"/>
        <color rgb="00C6EFCE"/>
      </colorScale>
    </cfRule>
  </conditionalFormatting>
  <conditionalFormatting sqref="L9:L32">
    <cfRule type="colorScale" priority="4">
      <colorScale>
        <cfvo type="num" val="0"/>
        <cfvo type="num" val="0.3"/>
        <cfvo type="num" val="0.55"/>
        <color rgb="00FCE4D6"/>
        <color rgb="00FFEB9C"/>
        <color rgb="00C6EFCE"/>
      </colorScale>
    </cfRule>
  </conditionalFormatting>
  <conditionalFormatting sqref="N9:N32">
    <cfRule type="colorScale" priority="5">
      <colorScale>
        <cfvo type="num" val="0"/>
        <cfvo type="num" val="0.3"/>
        <cfvo type="num" val="0.55"/>
        <color rgb="00FCE4D6"/>
        <color rgb="00FFEB9C"/>
        <color rgb="00C6EFCE"/>
      </colorScale>
    </cfRule>
  </conditionalFormatting>
  <conditionalFormatting sqref="P9:P32">
    <cfRule type="colorScale" priority="6">
      <colorScale>
        <cfvo type="num" val="0"/>
        <cfvo type="num" val="0.3"/>
        <cfvo type="num" val="0.55"/>
        <color rgb="00FCE4D6"/>
        <color rgb="00FFEB9C"/>
        <color rgb="00C6EFCE"/>
      </colorScale>
    </cfRule>
  </conditionalFormatting>
  <conditionalFormatting sqref="R9:R32">
    <cfRule type="colorScale" priority="7">
      <colorScale>
        <cfvo type="num" val="0"/>
        <cfvo type="num" val="0.3"/>
        <cfvo type="num" val="0.55"/>
        <color rgb="00FCE4D6"/>
        <color rgb="00FFEB9C"/>
        <color rgb="00C6EFCE"/>
      </colorScale>
    </cfRule>
  </conditionalFormatting>
  <conditionalFormatting sqref="T9:T32">
    <cfRule type="colorScale" priority="8">
      <colorScale>
        <cfvo type="num" val="0"/>
        <cfvo type="num" val="0.3"/>
        <cfvo type="num" val="0.55"/>
        <color rgb="00FCE4D6"/>
        <color rgb="00FFEB9C"/>
        <color rgb="00C6EFCE"/>
      </colorScale>
    </cfRule>
  </conditionalFormatting>
  <conditionalFormatting sqref="V9:V32">
    <cfRule type="colorScale" priority="9">
      <colorScale>
        <cfvo type="num" val="0"/>
        <cfvo type="num" val="0.3"/>
        <cfvo type="num" val="0.55"/>
        <color rgb="00FCE4D6"/>
        <color rgb="00FFEB9C"/>
        <color rgb="00C6EFCE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1" customWidth="1" min="3" max="3"/>
    <col width="11" customWidth="1" min="4" max="4"/>
    <col width="11" customWidth="1" min="5" max="5"/>
    <col width="13" customWidth="1" min="6" max="6"/>
    <col width="13" customWidth="1" min="7" max="7"/>
    <col width="14" customWidth="1" min="8" max="8"/>
    <col width="11" customWidth="1" min="9" max="9"/>
    <col width="14" customWidth="1" min="10" max="10"/>
    <col width="14" customWidth="1" min="11" max="11"/>
    <col width="13" customWidth="1" min="12" max="12"/>
  </cols>
  <sheetData>
    <row r="1" ht="32" customHeight="1">
      <c r="A1" s="1" t="inlineStr">
        <is>
          <t>05 | WORKING CAPITAL — Cash Lock Risk Score per SKU × Channel</t>
        </is>
      </c>
    </row>
    <row r="2" ht="20" customHeight="1">
      <c r="A2" s="35" t="inlineStr">
        <is>
          <t xml:space="preserve">  WORKING CAPITAL ASSUMPTIONS (editable in config.json → working_capital)</t>
        </is>
      </c>
    </row>
    <row r="3" ht="16" customHeight="1">
      <c r="A3" s="36" t="inlineStr">
        <is>
          <t>Inventory Days (default)</t>
        </is>
      </c>
      <c r="B3" s="87" t="n">
        <v>45</v>
      </c>
      <c r="C3" s="6" t="inlineStr">
        <is>
          <t>Days of stock held. Override per SKU in col G.</t>
        </is>
      </c>
      <c r="D3" s="108" t="n"/>
      <c r="E3" s="108" t="n"/>
      <c r="F3" s="108" t="n"/>
      <c r="G3" s="108" t="n"/>
      <c r="H3" s="108" t="n"/>
      <c r="I3" s="108" t="n"/>
      <c r="J3" s="108" t="n"/>
      <c r="K3" s="108" t="n"/>
      <c r="L3" s="107" t="n"/>
    </row>
    <row r="4" ht="16" customHeight="1">
      <c r="A4" s="36" t="inlineStr">
        <is>
          <t>Sales Period (days)</t>
        </is>
      </c>
      <c r="B4" s="87" t="n">
        <v>90</v>
      </c>
      <c r="C4" s="6" t="inlineStr">
        <is>
          <t>Period units_sold was measured over (from sales_orders.csv).</t>
        </is>
      </c>
      <c r="D4" s="108" t="n"/>
      <c r="E4" s="108" t="n"/>
      <c r="F4" s="108" t="n"/>
      <c r="G4" s="108" t="n"/>
      <c r="H4" s="108" t="n"/>
      <c r="I4" s="108" t="n"/>
      <c r="J4" s="108" t="n"/>
      <c r="K4" s="108" t="n"/>
      <c r="L4" s="107" t="n"/>
    </row>
    <row r="5" ht="16" customHeight="1">
      <c r="A5" s="36" t="inlineStr">
        <is>
          <t>High Risk Threshold</t>
        </is>
      </c>
      <c r="B5" s="52" t="n">
        <v>500</v>
      </c>
      <c r="C5" s="6" t="inlineStr">
        <is>
          <t>Cash Lock above this = 🔴 HIGH.</t>
        </is>
      </c>
      <c r="D5" s="108" t="n"/>
      <c r="E5" s="108" t="n"/>
      <c r="F5" s="108" t="n"/>
      <c r="G5" s="108" t="n"/>
      <c r="H5" s="108" t="n"/>
      <c r="I5" s="108" t="n"/>
      <c r="J5" s="108" t="n"/>
      <c r="K5" s="108" t="n"/>
      <c r="L5" s="107" t="n"/>
    </row>
    <row r="6" ht="16" customHeight="1">
      <c r="A6" s="36" t="inlineStr">
        <is>
          <t>Medium Risk Threshold</t>
        </is>
      </c>
      <c r="B6" s="52" t="n">
        <v>200</v>
      </c>
      <c r="C6" s="6" t="inlineStr">
        <is>
          <t>Cash Lock above this = 🟡 MEDIUM.</t>
        </is>
      </c>
      <c r="D6" s="108" t="n"/>
      <c r="E6" s="108" t="n"/>
      <c r="F6" s="108" t="n"/>
      <c r="G6" s="108" t="n"/>
      <c r="H6" s="108" t="n"/>
      <c r="I6" s="108" t="n"/>
      <c r="J6" s="108" t="n"/>
      <c r="K6" s="108" t="n"/>
      <c r="L6" s="107" t="n"/>
    </row>
    <row r="7" ht="36" customHeight="1">
      <c r="A7" s="47" t="inlineStr">
        <is>
          <t>SKU ID</t>
        </is>
      </c>
      <c r="B7" s="47" t="inlineStr">
        <is>
          <t>SKU Name</t>
        </is>
      </c>
      <c r="C7" s="47" t="inlineStr">
        <is>
          <t>Channel</t>
        </is>
      </c>
      <c r="D7" s="45" t="inlineStr">
        <is>
          <t>Units Sold</t>
        </is>
      </c>
      <c r="E7" s="45" t="inlineStr">
        <is>
          <t>COGS
/unit</t>
        </is>
      </c>
      <c r="F7" s="45" t="inlineStr">
        <is>
          <t>Daily
Velocity</t>
        </is>
      </c>
      <c r="G7" s="46" t="inlineStr">
        <is>
          <t>Inventory
Days</t>
        </is>
      </c>
      <c r="H7" s="46" t="inlineStr">
        <is>
          <t>Cash
Locked (€)</t>
        </is>
      </c>
      <c r="I7" s="46" t="inlineStr">
        <is>
          <t>Payout
Days</t>
        </is>
      </c>
      <c r="J7" s="46" t="inlineStr">
        <is>
          <t>Float
Exposure</t>
        </is>
      </c>
      <c r="K7" s="47" t="inlineStr">
        <is>
          <t>Total
Exposure</t>
        </is>
      </c>
      <c r="L7" s="47" t="inlineStr">
        <is>
          <t>Risk
Score</t>
        </is>
      </c>
    </row>
    <row r="8" ht="20" customHeight="1">
      <c r="A8" s="62" t="inlineStr">
        <is>
          <t>SKU-001</t>
        </is>
      </c>
      <c r="B8" s="63" t="inlineStr">
        <is>
          <t>Vitamin C Brightening Serum 30ml</t>
        </is>
      </c>
      <c r="C8" s="50" t="inlineStr">
        <is>
          <t>Amazon</t>
        </is>
      </c>
      <c r="D8" s="96" t="n">
        <v>495</v>
      </c>
      <c r="E8" s="52" t="n">
        <v>6.2</v>
      </c>
      <c r="F8" s="54">
        <f>D8/$B$4</f>
        <v/>
      </c>
      <c r="G8" s="87" t="n">
        <v>45</v>
      </c>
      <c r="H8" s="116">
        <f>G8*E8*F8</f>
        <v/>
      </c>
      <c r="I8" s="117" t="n">
        <v>14</v>
      </c>
      <c r="J8" s="58">
        <f>I8*33.2405*F8</f>
        <v/>
      </c>
      <c r="K8" s="40">
        <f>H8+J8</f>
        <v/>
      </c>
      <c r="L8" s="61">
        <f>IF(H8&gt;=$B$5,"🔴 HIGH",IF(H8&gt;=$B$6,"🟡 MEDIUM","🟢 LOW"))</f>
        <v/>
      </c>
    </row>
    <row r="9" ht="20" customHeight="1">
      <c r="A9" s="48" t="inlineStr">
        <is>
          <t>SKU-001</t>
        </is>
      </c>
      <c r="B9" s="49" t="inlineStr">
        <is>
          <t>Vitamin C Brightening Serum 30ml</t>
        </is>
      </c>
      <c r="C9" s="64" t="inlineStr">
        <is>
          <t>DTC</t>
        </is>
      </c>
      <c r="D9" s="96" t="n">
        <v>69</v>
      </c>
      <c r="E9" s="52" t="n">
        <v>6.2</v>
      </c>
      <c r="F9" s="54">
        <f>D9/$B$4</f>
        <v/>
      </c>
      <c r="G9" s="87" t="n">
        <v>45</v>
      </c>
      <c r="H9" s="116">
        <f>G9*E9*F9</f>
        <v/>
      </c>
      <c r="I9" s="117" t="n">
        <v>3</v>
      </c>
      <c r="J9" s="58">
        <f>I9*31.491*F9</f>
        <v/>
      </c>
      <c r="K9" s="40">
        <f>H9+J9</f>
        <v/>
      </c>
      <c r="L9" s="61">
        <f>IF(H9&gt;=$B$5,"🔴 HIGH",IF(H9&gt;=$B$6,"🟡 MEDIUM","🟢 LOW"))</f>
        <v/>
      </c>
    </row>
    <row r="10" ht="20" customHeight="1">
      <c r="A10" s="62" t="inlineStr">
        <is>
          <t>SKU-002</t>
        </is>
      </c>
      <c r="B10" s="63" t="inlineStr">
        <is>
          <t>Hyaluronic Acid Moisturiser 50ml</t>
        </is>
      </c>
      <c r="C10" s="50" t="inlineStr">
        <is>
          <t>Amazon</t>
        </is>
      </c>
      <c r="D10" s="96" t="n">
        <v>366</v>
      </c>
      <c r="E10" s="52" t="n">
        <v>5.4</v>
      </c>
      <c r="F10" s="54">
        <f>D10/$B$4</f>
        <v/>
      </c>
      <c r="G10" s="87" t="n">
        <v>45</v>
      </c>
      <c r="H10" s="116">
        <f>G10*E10*F10</f>
        <v/>
      </c>
      <c r="I10" s="117" t="n">
        <v>14</v>
      </c>
      <c r="J10" s="58">
        <f>I10*27.5405*F10</f>
        <v/>
      </c>
      <c r="K10" s="40">
        <f>H10+J10</f>
        <v/>
      </c>
      <c r="L10" s="61">
        <f>IF(H10&gt;=$B$5,"🔴 HIGH",IF(H10&gt;=$B$6,"🟡 MEDIUM","🟢 LOW"))</f>
        <v/>
      </c>
    </row>
    <row r="11" ht="20" customHeight="1">
      <c r="A11" s="48" t="inlineStr">
        <is>
          <t>SKU-002</t>
        </is>
      </c>
      <c r="B11" s="49" t="inlineStr">
        <is>
          <t>Hyaluronic Acid Moisturiser 50ml</t>
        </is>
      </c>
      <c r="C11" s="64" t="inlineStr">
        <is>
          <t>DTC</t>
        </is>
      </c>
      <c r="D11" s="96" t="n">
        <v>141</v>
      </c>
      <c r="E11" s="52" t="n">
        <v>5.4</v>
      </c>
      <c r="F11" s="54">
        <f>D11/$B$4</f>
        <v/>
      </c>
      <c r="G11" s="87" t="n">
        <v>45</v>
      </c>
      <c r="H11" s="116">
        <f>G11*E11*F11</f>
        <v/>
      </c>
      <c r="I11" s="117" t="n">
        <v>3</v>
      </c>
      <c r="J11" s="58">
        <f>I11*26.091*F11</f>
        <v/>
      </c>
      <c r="K11" s="40">
        <f>H11+J11</f>
        <v/>
      </c>
      <c r="L11" s="61">
        <f>IF(H11&gt;=$B$5,"🔴 HIGH",IF(H11&gt;=$B$6,"🟡 MEDIUM","🟢 LOW"))</f>
        <v/>
      </c>
    </row>
    <row r="12" ht="20" customHeight="1">
      <c r="A12" s="62" t="inlineStr">
        <is>
          <t>SKU-003</t>
        </is>
      </c>
      <c r="B12" s="63" t="inlineStr">
        <is>
          <t>Retinol Night Cream 30ml</t>
        </is>
      </c>
      <c r="C12" s="50" t="inlineStr">
        <is>
          <t>Amazon</t>
        </is>
      </c>
      <c r="D12" s="96" t="n">
        <v>0</v>
      </c>
      <c r="E12" s="52" t="n">
        <v>8.5</v>
      </c>
      <c r="F12" s="54">
        <f>D12/$B$4</f>
        <v/>
      </c>
      <c r="G12" s="87" t="n">
        <v>45</v>
      </c>
      <c r="H12" s="116">
        <f>G12*E12*F12</f>
        <v/>
      </c>
      <c r="I12" s="117" t="n">
        <v>14</v>
      </c>
      <c r="J12" s="58">
        <f>I12*40.8405*F12</f>
        <v/>
      </c>
      <c r="K12" s="40">
        <f>H12+J12</f>
        <v/>
      </c>
      <c r="L12" s="61">
        <f>IF(H12&gt;=$B$5,"🔴 HIGH",IF(H12&gt;=$B$6,"🟡 MEDIUM","🟢 LOW"))</f>
        <v/>
      </c>
    </row>
    <row r="13" ht="20" customHeight="1">
      <c r="A13" s="48" t="inlineStr">
        <is>
          <t>SKU-003</t>
        </is>
      </c>
      <c r="B13" s="49" t="inlineStr">
        <is>
          <t>Retinol Night Cream 30ml</t>
        </is>
      </c>
      <c r="C13" s="64" t="inlineStr">
        <is>
          <t>DTC</t>
        </is>
      </c>
      <c r="D13" s="96" t="n">
        <v>133</v>
      </c>
      <c r="E13" s="52" t="n">
        <v>8.5</v>
      </c>
      <c r="F13" s="54">
        <f>D13/$B$4</f>
        <v/>
      </c>
      <c r="G13" s="87" t="n">
        <v>45</v>
      </c>
      <c r="H13" s="116">
        <f>G13*E13*F13</f>
        <v/>
      </c>
      <c r="I13" s="117" t="n">
        <v>3</v>
      </c>
      <c r="J13" s="58">
        <f>I13*38.691*F13</f>
        <v/>
      </c>
      <c r="K13" s="40">
        <f>H13+J13</f>
        <v/>
      </c>
      <c r="L13" s="61">
        <f>IF(H13&gt;=$B$5,"🔴 HIGH",IF(H13&gt;=$B$6,"🟡 MEDIUM","🟢 LOW"))</f>
        <v/>
      </c>
    </row>
    <row r="14" ht="20" customHeight="1">
      <c r="A14" s="62" t="inlineStr">
        <is>
          <t>SKU-004</t>
        </is>
      </c>
      <c r="B14" s="63" t="inlineStr">
        <is>
          <t>SPF 50+ Daily Sunscreen 75ml</t>
        </is>
      </c>
      <c r="C14" s="50" t="inlineStr">
        <is>
          <t>Amazon</t>
        </is>
      </c>
      <c r="D14" s="96" t="n">
        <v>165</v>
      </c>
      <c r="E14" s="52" t="n">
        <v>4.1</v>
      </c>
      <c r="F14" s="54">
        <f>D14/$B$4</f>
        <v/>
      </c>
      <c r="G14" s="87" t="n">
        <v>45</v>
      </c>
      <c r="H14" s="116">
        <f>G14*E14*F14</f>
        <v/>
      </c>
      <c r="I14" s="117" t="n">
        <v>14</v>
      </c>
      <c r="J14" s="58">
        <f>I14*21.8405*F14</f>
        <v/>
      </c>
      <c r="K14" s="40">
        <f>H14+J14</f>
        <v/>
      </c>
      <c r="L14" s="61">
        <f>IF(H14&gt;=$B$5,"🔴 HIGH",IF(H14&gt;=$B$6,"🟡 MEDIUM","🟢 LOW"))</f>
        <v/>
      </c>
    </row>
    <row r="15" ht="20" customHeight="1">
      <c r="A15" s="48" t="inlineStr">
        <is>
          <t>SKU-004</t>
        </is>
      </c>
      <c r="B15" s="49" t="inlineStr">
        <is>
          <t>SPF 50+ Daily Sunscreen 75ml</t>
        </is>
      </c>
      <c r="C15" s="64" t="inlineStr">
        <is>
          <t>DTC</t>
        </is>
      </c>
      <c r="D15" s="96" t="n">
        <v>0</v>
      </c>
      <c r="E15" s="52" t="n">
        <v>4.1</v>
      </c>
      <c r="F15" s="54">
        <f>D15/$B$4</f>
        <v/>
      </c>
      <c r="G15" s="87" t="n">
        <v>45</v>
      </c>
      <c r="H15" s="116">
        <f>G15*E15*F15</f>
        <v/>
      </c>
      <c r="I15" s="117" t="n">
        <v>3</v>
      </c>
      <c r="J15" s="58">
        <f>I15*20.691*F15</f>
        <v/>
      </c>
      <c r="K15" s="40">
        <f>H15+J15</f>
        <v/>
      </c>
      <c r="L15" s="61">
        <f>IF(H15&gt;=$B$5,"🔴 HIGH",IF(H15&gt;=$B$6,"🟡 MEDIUM","🟢 LOW"))</f>
        <v/>
      </c>
    </row>
    <row r="16" ht="20" customHeight="1">
      <c r="A16" s="62" t="inlineStr">
        <is>
          <t>SKU-005</t>
        </is>
      </c>
      <c r="B16" s="63" t="inlineStr">
        <is>
          <t>AHA/BHA Exfoliating Toner 200ml</t>
        </is>
      </c>
      <c r="C16" s="50" t="inlineStr">
        <is>
          <t>Amazon</t>
        </is>
      </c>
      <c r="D16" s="96" t="n">
        <v>154</v>
      </c>
      <c r="E16" s="52" t="n">
        <v>4.8</v>
      </c>
      <c r="F16" s="54">
        <f>D16/$B$4</f>
        <v/>
      </c>
      <c r="G16" s="87" t="n">
        <v>45</v>
      </c>
      <c r="H16" s="116">
        <f>G16*E16*F16</f>
        <v/>
      </c>
      <c r="I16" s="117" t="n">
        <v>14</v>
      </c>
      <c r="J16" s="58">
        <f>I16*25.6405*F16</f>
        <v/>
      </c>
      <c r="K16" s="40">
        <f>H16+J16</f>
        <v/>
      </c>
      <c r="L16" s="61">
        <f>IF(H16&gt;=$B$5,"🔴 HIGH",IF(H16&gt;=$B$6,"🟡 MEDIUM","🟢 LOW"))</f>
        <v/>
      </c>
    </row>
    <row r="17" ht="20" customHeight="1">
      <c r="A17" s="48" t="inlineStr">
        <is>
          <t>SKU-005</t>
        </is>
      </c>
      <c r="B17" s="49" t="inlineStr">
        <is>
          <t>AHA/BHA Exfoliating Toner 200ml</t>
        </is>
      </c>
      <c r="C17" s="64" t="inlineStr">
        <is>
          <t>DTC</t>
        </is>
      </c>
      <c r="D17" s="96" t="n">
        <v>119</v>
      </c>
      <c r="E17" s="52" t="n">
        <v>4.8</v>
      </c>
      <c r="F17" s="54">
        <f>D17/$B$4</f>
        <v/>
      </c>
      <c r="G17" s="87" t="n">
        <v>45</v>
      </c>
      <c r="H17" s="116">
        <f>G17*E17*F17</f>
        <v/>
      </c>
      <c r="I17" s="117" t="n">
        <v>3</v>
      </c>
      <c r="J17" s="58">
        <f>I17*24.291*F17</f>
        <v/>
      </c>
      <c r="K17" s="40">
        <f>H17+J17</f>
        <v/>
      </c>
      <c r="L17" s="61">
        <f>IF(H17&gt;=$B$5,"🔴 HIGH",IF(H17&gt;=$B$6,"🟡 MEDIUM","🟢 LOW"))</f>
        <v/>
      </c>
    </row>
    <row r="18" ht="20" customHeight="1">
      <c r="A18" s="62" t="inlineStr">
        <is>
          <t>SKU-006</t>
        </is>
      </c>
      <c r="B18" s="63" t="inlineStr">
        <is>
          <t>Niacinamide Pore Minimiser Serum</t>
        </is>
      </c>
      <c r="C18" s="50" t="inlineStr">
        <is>
          <t>Amazon</t>
        </is>
      </c>
      <c r="D18" s="96" t="n">
        <v>70</v>
      </c>
      <c r="E18" s="52" t="n">
        <v>5.9</v>
      </c>
      <c r="F18" s="54">
        <f>D18/$B$4</f>
        <v/>
      </c>
      <c r="G18" s="87" t="n">
        <v>45</v>
      </c>
      <c r="H18" s="116">
        <f>G18*E18*F18</f>
        <v/>
      </c>
      <c r="I18" s="117" t="n">
        <v>14</v>
      </c>
      <c r="J18" s="58">
        <f>I18*30.3905*F18</f>
        <v/>
      </c>
      <c r="K18" s="40">
        <f>H18+J18</f>
        <v/>
      </c>
      <c r="L18" s="61">
        <f>IF(H18&gt;=$B$5,"🔴 HIGH",IF(H18&gt;=$B$6,"🟡 MEDIUM","🟢 LOW"))</f>
        <v/>
      </c>
    </row>
    <row r="19" ht="20" customHeight="1">
      <c r="A19" s="48" t="inlineStr">
        <is>
          <t>SKU-006</t>
        </is>
      </c>
      <c r="B19" s="49" t="inlineStr">
        <is>
          <t>Niacinamide Pore Minimiser Serum</t>
        </is>
      </c>
      <c r="C19" s="64" t="inlineStr">
        <is>
          <t>DTC</t>
        </is>
      </c>
      <c r="D19" s="96" t="n">
        <v>39</v>
      </c>
      <c r="E19" s="52" t="n">
        <v>5.9</v>
      </c>
      <c r="F19" s="54">
        <f>D19/$B$4</f>
        <v/>
      </c>
      <c r="G19" s="87" t="n">
        <v>45</v>
      </c>
      <c r="H19" s="116">
        <f>G19*E19*F19</f>
        <v/>
      </c>
      <c r="I19" s="117" t="n">
        <v>3</v>
      </c>
      <c r="J19" s="58">
        <f>I19*28.791*F19</f>
        <v/>
      </c>
      <c r="K19" s="40">
        <f>H19+J19</f>
        <v/>
      </c>
      <c r="L19" s="61">
        <f>IF(H19&gt;=$B$5,"🔴 HIGH",IF(H19&gt;=$B$6,"🟡 MEDIUM","🟢 LOW"))</f>
        <v/>
      </c>
    </row>
    <row r="20" ht="20" customHeight="1">
      <c r="A20" s="62" t="inlineStr">
        <is>
          <t>SKU-007</t>
        </is>
      </c>
      <c r="B20" s="63" t="inlineStr">
        <is>
          <t>Collagen Boosting Eye Cream 15ml</t>
        </is>
      </c>
      <c r="C20" s="50" t="inlineStr">
        <is>
          <t>Amazon</t>
        </is>
      </c>
      <c r="D20" s="96" t="n">
        <v>0</v>
      </c>
      <c r="E20" s="52" t="n">
        <v>7.2</v>
      </c>
      <c r="F20" s="54">
        <f>D20/$B$4</f>
        <v/>
      </c>
      <c r="G20" s="87" t="n">
        <v>45</v>
      </c>
      <c r="H20" s="116">
        <f>G20*E20*F20</f>
        <v/>
      </c>
      <c r="I20" s="117" t="n">
        <v>14</v>
      </c>
      <c r="J20" s="58">
        <f>I20*37.0405*F20</f>
        <v/>
      </c>
      <c r="K20" s="40">
        <f>H20+J20</f>
        <v/>
      </c>
      <c r="L20" s="61">
        <f>IF(H20&gt;=$B$5,"🔴 HIGH",IF(H20&gt;=$B$6,"🟡 MEDIUM","🟢 LOW"))</f>
        <v/>
      </c>
    </row>
    <row r="21" ht="20" customHeight="1">
      <c r="A21" s="48" t="inlineStr">
        <is>
          <t>SKU-007</t>
        </is>
      </c>
      <c r="B21" s="49" t="inlineStr">
        <is>
          <t>Collagen Boosting Eye Cream 15ml</t>
        </is>
      </c>
      <c r="C21" s="64" t="inlineStr">
        <is>
          <t>DTC</t>
        </is>
      </c>
      <c r="D21" s="96" t="n">
        <v>224</v>
      </c>
      <c r="E21" s="52" t="n">
        <v>7.2</v>
      </c>
      <c r="F21" s="54">
        <f>D21/$B$4</f>
        <v/>
      </c>
      <c r="G21" s="87" t="n">
        <v>45</v>
      </c>
      <c r="H21" s="116">
        <f>G21*E21*F21</f>
        <v/>
      </c>
      <c r="I21" s="117" t="n">
        <v>3</v>
      </c>
      <c r="J21" s="58">
        <f>I21*35.091*F21</f>
        <v/>
      </c>
      <c r="K21" s="40">
        <f>H21+J21</f>
        <v/>
      </c>
      <c r="L21" s="61">
        <f>IF(H21&gt;=$B$5,"🔴 HIGH",IF(H21&gt;=$B$6,"🟡 MEDIUM","🟢 LOW"))</f>
        <v/>
      </c>
    </row>
    <row r="22" ht="20" customHeight="1">
      <c r="A22" s="62" t="inlineStr">
        <is>
          <t>SKU-008</t>
        </is>
      </c>
      <c r="B22" s="63" t="inlineStr">
        <is>
          <t>Rose Hip Facial Oil 30ml</t>
        </is>
      </c>
      <c r="C22" s="50" t="inlineStr">
        <is>
          <t>Amazon</t>
        </is>
      </c>
      <c r="D22" s="96" t="n">
        <v>175</v>
      </c>
      <c r="E22" s="52" t="n">
        <v>6.8</v>
      </c>
      <c r="F22" s="54">
        <f>D22/$B$4</f>
        <v/>
      </c>
      <c r="G22" s="87" t="n">
        <v>45</v>
      </c>
      <c r="H22" s="116">
        <f>G22*E22*F22</f>
        <v/>
      </c>
      <c r="I22" s="117" t="n">
        <v>14</v>
      </c>
      <c r="J22" s="58">
        <f>I22*34.1905*F22</f>
        <v/>
      </c>
      <c r="K22" s="40">
        <f>H22+J22</f>
        <v/>
      </c>
      <c r="L22" s="61">
        <f>IF(H22&gt;=$B$5,"🔴 HIGH",IF(H22&gt;=$B$6,"🟡 MEDIUM","🟢 LOW"))</f>
        <v/>
      </c>
    </row>
    <row r="23" ht="20" customHeight="1">
      <c r="A23" s="48" t="inlineStr">
        <is>
          <t>SKU-008</t>
        </is>
      </c>
      <c r="B23" s="49" t="inlineStr">
        <is>
          <t>Rose Hip Facial Oil 30ml</t>
        </is>
      </c>
      <c r="C23" s="64" t="inlineStr">
        <is>
          <t>DTC</t>
        </is>
      </c>
      <c r="D23" s="96" t="n">
        <v>75</v>
      </c>
      <c r="E23" s="52" t="n">
        <v>6.8</v>
      </c>
      <c r="F23" s="54">
        <f>D23/$B$4</f>
        <v/>
      </c>
      <c r="G23" s="87" t="n">
        <v>45</v>
      </c>
      <c r="H23" s="116">
        <f>G23*E23*F23</f>
        <v/>
      </c>
      <c r="I23" s="117" t="n">
        <v>3</v>
      </c>
      <c r="J23" s="58">
        <f>I23*32.391*F23</f>
        <v/>
      </c>
      <c r="K23" s="40">
        <f>H23+J23</f>
        <v/>
      </c>
      <c r="L23" s="61">
        <f>IF(H23&gt;=$B$5,"🔴 HIGH",IF(H23&gt;=$B$6,"🟡 MEDIUM","🟢 LOW"))</f>
        <v/>
      </c>
    </row>
    <row r="24" ht="20" customHeight="1">
      <c r="A24" s="62" t="inlineStr">
        <is>
          <t>SKU-009</t>
        </is>
      </c>
      <c r="B24" s="63" t="inlineStr">
        <is>
          <t>Ceramide Barrier Repair Cream 50ml</t>
        </is>
      </c>
      <c r="C24" s="50" t="inlineStr">
        <is>
          <t>Amazon</t>
        </is>
      </c>
      <c r="D24" s="96" t="n">
        <v>274</v>
      </c>
      <c r="E24" s="52" t="n">
        <v>5.6</v>
      </c>
      <c r="F24" s="54">
        <f>D24/$B$4</f>
        <v/>
      </c>
      <c r="G24" s="87" t="n">
        <v>45</v>
      </c>
      <c r="H24" s="116">
        <f>G24*E24*F24</f>
        <v/>
      </c>
      <c r="I24" s="117" t="n">
        <v>14</v>
      </c>
      <c r="J24" s="58">
        <f>I24*28.4905*F24</f>
        <v/>
      </c>
      <c r="K24" s="40">
        <f>H24+J24</f>
        <v/>
      </c>
      <c r="L24" s="61">
        <f>IF(H24&gt;=$B$5,"🔴 HIGH",IF(H24&gt;=$B$6,"🟡 MEDIUM","🟢 LOW"))</f>
        <v/>
      </c>
    </row>
    <row r="25" ht="20" customHeight="1">
      <c r="A25" s="48" t="inlineStr">
        <is>
          <t>SKU-009</t>
        </is>
      </c>
      <c r="B25" s="49" t="inlineStr">
        <is>
          <t>Ceramide Barrier Repair Cream 50ml</t>
        </is>
      </c>
      <c r="C25" s="64" t="inlineStr">
        <is>
          <t>DTC</t>
        </is>
      </c>
      <c r="D25" s="96" t="n">
        <v>103</v>
      </c>
      <c r="E25" s="52" t="n">
        <v>5.6</v>
      </c>
      <c r="F25" s="54">
        <f>D25/$B$4</f>
        <v/>
      </c>
      <c r="G25" s="87" t="n">
        <v>45</v>
      </c>
      <c r="H25" s="116">
        <f>G25*E25*F25</f>
        <v/>
      </c>
      <c r="I25" s="117" t="n">
        <v>3</v>
      </c>
      <c r="J25" s="58">
        <f>I25*26.991*F25</f>
        <v/>
      </c>
      <c r="K25" s="40">
        <f>H25+J25</f>
        <v/>
      </c>
      <c r="L25" s="61">
        <f>IF(H25&gt;=$B$5,"🔴 HIGH",IF(H25&gt;=$B$6,"🟡 MEDIUM","🟢 LOW"))</f>
        <v/>
      </c>
    </row>
    <row r="26" ht="20" customHeight="1">
      <c r="A26" s="62" t="inlineStr">
        <is>
          <t>SKU-010</t>
        </is>
      </c>
      <c r="B26" s="63" t="inlineStr">
        <is>
          <t>Micellar Cleansing Water 250ml</t>
        </is>
      </c>
      <c r="C26" s="50" t="inlineStr">
        <is>
          <t>Amazon</t>
        </is>
      </c>
      <c r="D26" s="96" t="n">
        <v>210</v>
      </c>
      <c r="E26" s="52" t="n">
        <v>3.2</v>
      </c>
      <c r="F26" s="54">
        <f>D26/$B$4</f>
        <v/>
      </c>
      <c r="G26" s="87" t="n">
        <v>45</v>
      </c>
      <c r="H26" s="116">
        <f>G26*E26*F26</f>
        <v/>
      </c>
      <c r="I26" s="117" t="n">
        <v>14</v>
      </c>
      <c r="J26" s="58">
        <f>I26*18.0405*F26</f>
        <v/>
      </c>
      <c r="K26" s="40">
        <f>H26+J26</f>
        <v/>
      </c>
      <c r="L26" s="61">
        <f>IF(H26&gt;=$B$5,"🔴 HIGH",IF(H26&gt;=$B$6,"🟡 MEDIUM","🟢 LOW"))</f>
        <v/>
      </c>
    </row>
    <row r="27" ht="20" customHeight="1">
      <c r="A27" s="48" t="inlineStr">
        <is>
          <t>SKU-010</t>
        </is>
      </c>
      <c r="B27" s="49" t="inlineStr">
        <is>
          <t>Micellar Cleansing Water 250ml</t>
        </is>
      </c>
      <c r="C27" s="64" t="inlineStr">
        <is>
          <t>DTC</t>
        </is>
      </c>
      <c r="D27" s="96" t="n">
        <v>146</v>
      </c>
      <c r="E27" s="52" t="n">
        <v>3.2</v>
      </c>
      <c r="F27" s="54">
        <f>D27/$B$4</f>
        <v/>
      </c>
      <c r="G27" s="87" t="n">
        <v>45</v>
      </c>
      <c r="H27" s="116">
        <f>G27*E27*F27</f>
        <v/>
      </c>
      <c r="I27" s="117" t="n">
        <v>3</v>
      </c>
      <c r="J27" s="58">
        <f>I27*17.091*F27</f>
        <v/>
      </c>
      <c r="K27" s="40">
        <f>H27+J27</f>
        <v/>
      </c>
      <c r="L27" s="61">
        <f>IF(H27&gt;=$B$5,"🔴 HIGH",IF(H27&gt;=$B$6,"🟡 MEDIUM","🟢 LOW"))</f>
        <v/>
      </c>
    </row>
    <row r="28" ht="20" customHeight="1">
      <c r="A28" s="62" t="inlineStr">
        <is>
          <t>SKU-011</t>
        </is>
      </c>
      <c r="B28" s="63" t="inlineStr">
        <is>
          <t>Peptide Firming Serum 30ml</t>
        </is>
      </c>
      <c r="C28" s="50" t="inlineStr">
        <is>
          <t>Amazon</t>
        </is>
      </c>
      <c r="D28" s="96" t="n">
        <v>294</v>
      </c>
      <c r="E28" s="52" t="n">
        <v>9.1</v>
      </c>
      <c r="F28" s="54">
        <f>D28/$B$4</f>
        <v/>
      </c>
      <c r="G28" s="87" t="n">
        <v>45</v>
      </c>
      <c r="H28" s="116">
        <f>G28*E28*F28</f>
        <v/>
      </c>
      <c r="I28" s="117" t="n">
        <v>14</v>
      </c>
      <c r="J28" s="58">
        <f>I28*42.7405*F28</f>
        <v/>
      </c>
      <c r="K28" s="40">
        <f>H28+J28</f>
        <v/>
      </c>
      <c r="L28" s="61">
        <f>IF(H28&gt;=$B$5,"🔴 HIGH",IF(H28&gt;=$B$6,"🟡 MEDIUM","🟢 LOW"))</f>
        <v/>
      </c>
    </row>
    <row r="29" ht="20" customHeight="1">
      <c r="A29" s="48" t="inlineStr">
        <is>
          <t>SKU-011</t>
        </is>
      </c>
      <c r="B29" s="49" t="inlineStr">
        <is>
          <t>Peptide Firming Serum 30ml</t>
        </is>
      </c>
      <c r="C29" s="64" t="inlineStr">
        <is>
          <t>DTC</t>
        </is>
      </c>
      <c r="D29" s="96" t="n">
        <v>286</v>
      </c>
      <c r="E29" s="52" t="n">
        <v>9.1</v>
      </c>
      <c r="F29" s="54">
        <f>D29/$B$4</f>
        <v/>
      </c>
      <c r="G29" s="87" t="n">
        <v>45</v>
      </c>
      <c r="H29" s="116">
        <f>G29*E29*F29</f>
        <v/>
      </c>
      <c r="I29" s="117" t="n">
        <v>3</v>
      </c>
      <c r="J29" s="58">
        <f>I29*40.491*F29</f>
        <v/>
      </c>
      <c r="K29" s="40">
        <f>H29+J29</f>
        <v/>
      </c>
      <c r="L29" s="61">
        <f>IF(H29&gt;=$B$5,"🔴 HIGH",IF(H29&gt;=$B$6,"🟡 MEDIUM","🟢 LOW"))</f>
        <v/>
      </c>
    </row>
    <row r="30" ht="20" customHeight="1">
      <c r="A30" s="62" t="inlineStr">
        <is>
          <t>SKU-012</t>
        </is>
      </c>
      <c r="B30" s="63" t="inlineStr">
        <is>
          <t>Gentle Foaming Cleanser 150ml</t>
        </is>
      </c>
      <c r="C30" s="50" t="inlineStr">
        <is>
          <t>Amazon</t>
        </is>
      </c>
      <c r="D30" s="96" t="n">
        <v>80</v>
      </c>
      <c r="E30" s="52" t="n">
        <v>3.5</v>
      </c>
      <c r="F30" s="54">
        <f>D30/$B$4</f>
        <v/>
      </c>
      <c r="G30" s="87" t="n">
        <v>45</v>
      </c>
      <c r="H30" s="116">
        <f>G30*E30*F30</f>
        <v/>
      </c>
      <c r="I30" s="117" t="n">
        <v>14</v>
      </c>
      <c r="J30" s="58">
        <f>I30*18.9905*F30</f>
        <v/>
      </c>
      <c r="K30" s="40">
        <f>H30+J30</f>
        <v/>
      </c>
      <c r="L30" s="61">
        <f>IF(H30&gt;=$B$5,"🔴 HIGH",IF(H30&gt;=$B$6,"🟡 MEDIUM","🟢 LOW"))</f>
        <v/>
      </c>
    </row>
    <row r="31" ht="20" customHeight="1">
      <c r="A31" s="48" t="inlineStr">
        <is>
          <t>SKU-012</t>
        </is>
      </c>
      <c r="B31" s="49" t="inlineStr">
        <is>
          <t>Gentle Foaming Cleanser 150ml</t>
        </is>
      </c>
      <c r="C31" s="64" t="inlineStr">
        <is>
          <t>DTC</t>
        </is>
      </c>
      <c r="D31" s="96" t="n">
        <v>189</v>
      </c>
      <c r="E31" s="52" t="n">
        <v>3.5</v>
      </c>
      <c r="F31" s="54">
        <f>D31/$B$4</f>
        <v/>
      </c>
      <c r="G31" s="87" t="n">
        <v>45</v>
      </c>
      <c r="H31" s="116">
        <f>G31*E31*F31</f>
        <v/>
      </c>
      <c r="I31" s="117" t="n">
        <v>3</v>
      </c>
      <c r="J31" s="58">
        <f>I31*17.991*F31</f>
        <v/>
      </c>
      <c r="K31" s="40">
        <f>H31+J31</f>
        <v/>
      </c>
      <c r="L31" s="61">
        <f>IF(H31&gt;=$B$5,"🔴 HIGH",IF(H31&gt;=$B$6,"🟡 MEDIUM","🟢 LOW"))</f>
        <v/>
      </c>
    </row>
    <row r="32">
      <c r="A32" s="32" t="inlineStr">
        <is>
          <t>TOTALS / AVERAGES</t>
        </is>
      </c>
      <c r="B32" s="108" t="n"/>
      <c r="C32" s="107" t="n"/>
      <c r="D32" s="65">
        <f>SUM(D8:D31)</f>
        <v/>
      </c>
      <c r="F32" s="60">
        <f>AVERAGE(F8:F31)</f>
        <v/>
      </c>
      <c r="H32" s="60">
        <f>SUM(H8:H31)</f>
        <v/>
      </c>
      <c r="J32" s="60">
        <f>SUM(J8:J31)</f>
        <v/>
      </c>
      <c r="K32" s="60">
        <f>SUM(K8:K31)</f>
        <v/>
      </c>
    </row>
    <row r="34">
      <c r="A34" s="19" t="inlineStr">
        <is>
          <t>💡 Cash Lock = Inventory Days × COGS/unit × Daily Velocity | Float = Payout Days × Net Price × Daily Velocity | Override col G per SKU.</t>
        </is>
      </c>
    </row>
    <row r="35">
      <c r="A35" s="19" t="inlineStr">
        <is>
          <t>📋 Thresholds: 🔴 HIGH &gt; 500 | 🟡 MEDIUM &gt; 200 | 🟢 LOW ≤ 200 — edit in config.json → working_capital.risk_thresholds</t>
        </is>
      </c>
    </row>
    <row r="36">
      <c r="A36" s="19" t="inlineStr">
        <is>
          <t>Data source: sales_orders.csv (single source of truth). Returns model: expected-value based for scenarios.</t>
        </is>
      </c>
    </row>
  </sheetData>
  <mergeCells count="12">
    <mergeCell ref="A2:F2"/>
    <mergeCell ref="A2:L2"/>
    <mergeCell ref="C5:L5"/>
    <mergeCell ref="A32:C32"/>
    <mergeCell ref="C4:L4"/>
    <mergeCell ref="A1:F1"/>
    <mergeCell ref="A1:L1"/>
    <mergeCell ref="C3:L3"/>
    <mergeCell ref="A36:L36"/>
    <mergeCell ref="C6:L6"/>
    <mergeCell ref="A34:L34"/>
    <mergeCell ref="A35:L35"/>
  </mergeCells>
  <conditionalFormatting sqref="H8:H31">
    <cfRule type="colorScale" priority="1">
      <colorScale>
        <cfvo type="min"/>
        <cfvo type="percentile" val="60"/>
        <cfvo type="max"/>
        <color rgb="00C6EFCE"/>
        <color rgb="00FFEB9C"/>
        <color rgb="00FCE4D6"/>
      </colorScale>
    </cfRule>
  </conditionalFormatting>
  <conditionalFormatting sqref="K8:K31">
    <cfRule type="colorScale" priority="2">
      <colorScale>
        <cfvo type="min"/>
        <cfvo type="percentile" val="60"/>
        <cfvo type="max"/>
        <color rgb="00C6EFCE"/>
        <color rgb="00FFEB9C"/>
        <color rgb="00FCE4D6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2" customWidth="1" min="5" max="5"/>
    <col width="12" customWidth="1" min="6" max="6"/>
    <col width="16" customWidth="1" min="7" max="7"/>
    <col width="16" customWidth="1" min="8" max="8"/>
  </cols>
  <sheetData>
    <row r="1" ht="32" customHeight="1">
      <c r="A1" s="1" t="inlineStr">
        <is>
          <t>06 | RAW SKU MASTER — Costs &amp; Pricing (All Ex-VAT)</t>
        </is>
      </c>
    </row>
    <row r="2">
      <c r="A2" s="10" t="inlineStr">
        <is>
          <t>Category:</t>
        </is>
      </c>
      <c r="B2" s="42">
        <f>'00_Settings'!B6</f>
        <v/>
      </c>
      <c r="D2" s="10" t="inlineStr">
        <is>
          <t>Currency (ex-VAT):</t>
        </is>
      </c>
      <c r="E2" s="42">
        <f>'00_Settings'!B3</f>
        <v/>
      </c>
    </row>
    <row r="3" ht="28" customHeight="1">
      <c r="A3" s="84" t="inlineStr">
        <is>
          <t>SKU ID</t>
        </is>
      </c>
      <c r="B3" s="84" t="inlineStr">
        <is>
          <t>SKU Name</t>
        </is>
      </c>
      <c r="C3" s="84" t="inlineStr">
        <is>
          <t>Subcategory</t>
        </is>
      </c>
      <c r="D3" s="84" t="inlineStr">
        <is>
          <t>Base Price
(ex-VAT)</t>
        </is>
      </c>
      <c r="E3" s="84" t="inlineStr">
        <is>
          <t>COGS</t>
        </is>
      </c>
      <c r="F3" s="84" t="inlineStr">
        <is>
          <t>Packaging</t>
        </is>
      </c>
      <c r="G3" s="84" t="inlineStr">
        <is>
          <t>Inbound Freight</t>
        </is>
      </c>
      <c r="H3" s="84" t="inlineStr">
        <is>
          <t>Total Var. Cost</t>
        </is>
      </c>
    </row>
    <row r="4" ht="18" customHeight="1">
      <c r="A4" s="48" t="inlineStr">
        <is>
          <t>SKU-001</t>
        </is>
      </c>
      <c r="B4" s="49" t="inlineStr">
        <is>
          <t>Vitamin C Brightening Serum 30ml</t>
        </is>
      </c>
      <c r="C4" s="48" t="inlineStr">
        <is>
          <t>Serum</t>
        </is>
      </c>
      <c r="D4" s="52" t="n">
        <v>34.99</v>
      </c>
      <c r="E4" s="52" t="n">
        <v>6.2</v>
      </c>
      <c r="F4" s="52" t="n">
        <v>1.8</v>
      </c>
      <c r="G4" s="52" t="n">
        <v>1.1</v>
      </c>
      <c r="H4" s="85">
        <f>E4+F4+G4</f>
        <v/>
      </c>
    </row>
    <row r="5" ht="18" customHeight="1">
      <c r="A5" s="62" t="inlineStr">
        <is>
          <t>SKU-002</t>
        </is>
      </c>
      <c r="B5" s="63" t="inlineStr">
        <is>
          <t>Hyaluronic Acid Moisturiser 50ml</t>
        </is>
      </c>
      <c r="C5" s="62" t="inlineStr">
        <is>
          <t>Moisturiser</t>
        </is>
      </c>
      <c r="D5" s="52" t="n">
        <v>28.99</v>
      </c>
      <c r="E5" s="52" t="n">
        <v>5.4</v>
      </c>
      <c r="F5" s="52" t="n">
        <v>1.6</v>
      </c>
      <c r="G5" s="52" t="n">
        <v>0.95</v>
      </c>
      <c r="H5" s="85">
        <f>E5+F5+G5</f>
        <v/>
      </c>
    </row>
    <row r="6" ht="18" customHeight="1">
      <c r="A6" s="48" t="inlineStr">
        <is>
          <t>SKU-003</t>
        </is>
      </c>
      <c r="B6" s="49" t="inlineStr">
        <is>
          <t>Retinol Night Cream 30ml</t>
        </is>
      </c>
      <c r="C6" s="48" t="inlineStr">
        <is>
          <t>Cream</t>
        </is>
      </c>
      <c r="D6" s="52" t="n">
        <v>42.99</v>
      </c>
      <c r="E6" s="52" t="n">
        <v>8.5</v>
      </c>
      <c r="F6" s="52" t="n">
        <v>1.9</v>
      </c>
      <c r="G6" s="52" t="n">
        <v>1.2</v>
      </c>
      <c r="H6" s="85">
        <f>E6+F6+G6</f>
        <v/>
      </c>
    </row>
    <row r="7" ht="18" customHeight="1">
      <c r="A7" s="62" t="inlineStr">
        <is>
          <t>SKU-004</t>
        </is>
      </c>
      <c r="B7" s="63" t="inlineStr">
        <is>
          <t>SPF 50+ Daily Sunscreen 75ml</t>
        </is>
      </c>
      <c r="C7" s="62" t="inlineStr">
        <is>
          <t>Sunscreen</t>
        </is>
      </c>
      <c r="D7" s="52" t="n">
        <v>22.99</v>
      </c>
      <c r="E7" s="52" t="n">
        <v>4.1</v>
      </c>
      <c r="F7" s="52" t="n">
        <v>1.4</v>
      </c>
      <c r="G7" s="52" t="n">
        <v>0.85</v>
      </c>
      <c r="H7" s="85">
        <f>E7+F7+G7</f>
        <v/>
      </c>
    </row>
    <row r="8" ht="18" customHeight="1">
      <c r="A8" s="48" t="inlineStr">
        <is>
          <t>SKU-005</t>
        </is>
      </c>
      <c r="B8" s="49" t="inlineStr">
        <is>
          <t>AHA/BHA Exfoliating Toner 200ml</t>
        </is>
      </c>
      <c r="C8" s="48" t="inlineStr">
        <is>
          <t>Toner</t>
        </is>
      </c>
      <c r="D8" s="52" t="n">
        <v>26.99</v>
      </c>
      <c r="E8" s="52" t="n">
        <v>4.8</v>
      </c>
      <c r="F8" s="52" t="n">
        <v>1.55</v>
      </c>
      <c r="G8" s="52" t="n">
        <v>0.9</v>
      </c>
      <c r="H8" s="85">
        <f>E8+F8+G8</f>
        <v/>
      </c>
    </row>
    <row r="9" ht="18" customHeight="1">
      <c r="A9" s="62" t="inlineStr">
        <is>
          <t>SKU-006</t>
        </is>
      </c>
      <c r="B9" s="63" t="inlineStr">
        <is>
          <t>Niacinamide Pore Minimiser Serum</t>
        </is>
      </c>
      <c r="C9" s="62" t="inlineStr">
        <is>
          <t>Serum</t>
        </is>
      </c>
      <c r="D9" s="52" t="n">
        <v>31.99</v>
      </c>
      <c r="E9" s="52" t="n">
        <v>5.9</v>
      </c>
      <c r="F9" s="52" t="n">
        <v>1.75</v>
      </c>
      <c r="G9" s="52" t="n">
        <v>1.05</v>
      </c>
      <c r="H9" s="85">
        <f>E9+F9+G9</f>
        <v/>
      </c>
    </row>
    <row r="10" ht="18" customHeight="1">
      <c r="A10" s="48" t="inlineStr">
        <is>
          <t>SKU-007</t>
        </is>
      </c>
      <c r="B10" s="49" t="inlineStr">
        <is>
          <t>Collagen Boosting Eye Cream 15ml</t>
        </is>
      </c>
      <c r="C10" s="48" t="inlineStr">
        <is>
          <t>Eye Care</t>
        </is>
      </c>
      <c r="D10" s="52" t="n">
        <v>38.99</v>
      </c>
      <c r="E10" s="52" t="n">
        <v>7.2</v>
      </c>
      <c r="F10" s="52" t="n">
        <v>1.85</v>
      </c>
      <c r="G10" s="52" t="n">
        <v>1.15</v>
      </c>
      <c r="H10" s="85">
        <f>E10+F10+G10</f>
        <v/>
      </c>
    </row>
    <row r="11" ht="18" customHeight="1">
      <c r="A11" s="62" t="inlineStr">
        <is>
          <t>SKU-008</t>
        </is>
      </c>
      <c r="B11" s="63" t="inlineStr">
        <is>
          <t>Rose Hip Facial Oil 30ml</t>
        </is>
      </c>
      <c r="C11" s="62" t="inlineStr">
        <is>
          <t>Facial Oil</t>
        </is>
      </c>
      <c r="D11" s="52" t="n">
        <v>35.99</v>
      </c>
      <c r="E11" s="52" t="n">
        <v>6.8</v>
      </c>
      <c r="F11" s="52" t="n">
        <v>1.8</v>
      </c>
      <c r="G11" s="52" t="n">
        <v>1.1</v>
      </c>
      <c r="H11" s="85">
        <f>E11+F11+G11</f>
        <v/>
      </c>
    </row>
    <row r="12" ht="18" customHeight="1">
      <c r="A12" s="48" t="inlineStr">
        <is>
          <t>SKU-009</t>
        </is>
      </c>
      <c r="B12" s="49" t="inlineStr">
        <is>
          <t>Ceramide Barrier Repair Cream 50ml</t>
        </is>
      </c>
      <c r="C12" s="48" t="inlineStr">
        <is>
          <t>Cream</t>
        </is>
      </c>
      <c r="D12" s="52" t="n">
        <v>29.99</v>
      </c>
      <c r="E12" s="52" t="n">
        <v>5.6</v>
      </c>
      <c r="F12" s="52" t="n">
        <v>1.65</v>
      </c>
      <c r="G12" s="52" t="n">
        <v>0.95</v>
      </c>
      <c r="H12" s="85">
        <f>E12+F12+G12</f>
        <v/>
      </c>
    </row>
    <row r="13" ht="18" customHeight="1">
      <c r="A13" s="62" t="inlineStr">
        <is>
          <t>SKU-010</t>
        </is>
      </c>
      <c r="B13" s="63" t="inlineStr">
        <is>
          <t>Micellar Cleansing Water 250ml</t>
        </is>
      </c>
      <c r="C13" s="62" t="inlineStr">
        <is>
          <t>Cleanser</t>
        </is>
      </c>
      <c r="D13" s="52" t="n">
        <v>18.99</v>
      </c>
      <c r="E13" s="52" t="n">
        <v>3.2</v>
      </c>
      <c r="F13" s="52" t="n">
        <v>1.3</v>
      </c>
      <c r="G13" s="52" t="n">
        <v>0.75</v>
      </c>
      <c r="H13" s="85">
        <f>E13+F13+G13</f>
        <v/>
      </c>
    </row>
    <row r="14" ht="18" customHeight="1">
      <c r="A14" s="48" t="inlineStr">
        <is>
          <t>SKU-011</t>
        </is>
      </c>
      <c r="B14" s="49" t="inlineStr">
        <is>
          <t>Peptide Firming Serum 30ml</t>
        </is>
      </c>
      <c r="C14" s="48" t="inlineStr">
        <is>
          <t>Serum</t>
        </is>
      </c>
      <c r="D14" s="52" t="n">
        <v>44.99</v>
      </c>
      <c r="E14" s="52" t="n">
        <v>9.1</v>
      </c>
      <c r="F14" s="52" t="n">
        <v>1.9</v>
      </c>
      <c r="G14" s="52" t="n">
        <v>1.25</v>
      </c>
      <c r="H14" s="85">
        <f>E14+F14+G14</f>
        <v/>
      </c>
    </row>
    <row r="15" ht="18" customHeight="1">
      <c r="A15" s="62" t="inlineStr">
        <is>
          <t>SKU-012</t>
        </is>
      </c>
      <c r="B15" s="63" t="inlineStr">
        <is>
          <t>Gentle Foaming Cleanser 150ml</t>
        </is>
      </c>
      <c r="C15" s="62" t="inlineStr">
        <is>
          <t>Cleanser</t>
        </is>
      </c>
      <c r="D15" s="52" t="n">
        <v>19.99</v>
      </c>
      <c r="E15" s="52" t="n">
        <v>3.5</v>
      </c>
      <c r="F15" s="52" t="n">
        <v>1.35</v>
      </c>
      <c r="G15" s="52" t="n">
        <v>0.8</v>
      </c>
      <c r="H15" s="85">
        <f>E15+F15+G15</f>
        <v/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17" customWidth="1" min="4" max="4"/>
    <col width="10" customWidth="1" min="5" max="5"/>
    <col width="11" customWidth="1" min="6" max="6"/>
    <col width="17" customWidth="1" min="7" max="7"/>
    <col width="13" customWidth="1" min="8" max="8"/>
    <col width="11" customWidth="1" min="9" max="9"/>
    <col width="17" customWidth="1" min="10" max="10"/>
    <col width="40" customWidth="1" min="11" max="11"/>
  </cols>
  <sheetData>
    <row r="1" ht="32" customHeight="1">
      <c r="A1" s="1" t="inlineStr">
        <is>
          <t>07 | CHANNEL COSTS — Amazon vs DTC (All Values Ex-VAT)</t>
        </is>
      </c>
    </row>
    <row r="2" ht="38" customHeight="1">
      <c r="A2" s="84" t="inlineStr">
        <is>
          <t>Channel</t>
        </is>
      </c>
      <c r="B2" s="84" t="inlineStr">
        <is>
          <t>Referral
Fee %</t>
        </is>
      </c>
      <c r="C2" s="84" t="inlineStr">
        <is>
          <t>Fulfil Fee
/unit (3PL/FBA)</t>
        </is>
      </c>
      <c r="D2" s="84" t="inlineStr">
        <is>
          <t>Shipping Fee
/unit (carrier)</t>
        </is>
      </c>
      <c r="E2" s="84" t="inlineStr">
        <is>
          <t>Ads %</t>
        </is>
      </c>
      <c r="F2" s="84" t="inlineStr">
        <is>
          <t>Returns %</t>
        </is>
      </c>
      <c r="G2" s="84" t="inlineStr">
        <is>
          <t>Return Processing
Fee /unit</t>
        </is>
      </c>
      <c r="H2" s="84" t="inlineStr">
        <is>
          <t>Payment
Gateway %</t>
        </is>
      </c>
      <c r="I2" s="84" t="inlineStr">
        <is>
          <t>Payout
Days</t>
        </is>
      </c>
      <c r="J2" s="84" t="inlineStr">
        <is>
          <t>VAT Rate
(ref only)</t>
        </is>
      </c>
      <c r="K2" s="84" t="inlineStr">
        <is>
          <t>Notes</t>
        </is>
      </c>
    </row>
    <row r="3" ht="22" customHeight="1">
      <c r="A3" s="50" t="inlineStr">
        <is>
          <t>Amazon</t>
        </is>
      </c>
      <c r="B3" s="86" t="n">
        <v>0.15</v>
      </c>
      <c r="C3" s="52" t="n">
        <v>3.5</v>
      </c>
      <c r="D3" s="52" t="n">
        <v>0</v>
      </c>
      <c r="E3" s="86" t="n">
        <v>0.12</v>
      </c>
      <c r="F3" s="86" t="n">
        <v>0.06</v>
      </c>
      <c r="G3" s="52" t="n">
        <v>1</v>
      </c>
      <c r="H3" s="86" t="n">
        <v>0</v>
      </c>
      <c r="I3" s="87" t="n">
        <v>14</v>
      </c>
      <c r="J3" s="88" t="n">
        <v>0.2</v>
      </c>
      <c r="K3" s="89" t="inlineStr">
        <is>
          <t>FBA covers pick/pack/ship. Shipping fee = 0 (bundled in FBA). Return proc fee is per returned unit.</t>
        </is>
      </c>
    </row>
    <row r="4" ht="22" customHeight="1">
      <c r="A4" s="64" t="inlineStr">
        <is>
          <t>DTC</t>
        </is>
      </c>
      <c r="B4" s="86" t="n">
        <v>0</v>
      </c>
      <c r="C4" s="52" t="n">
        <v>2.2</v>
      </c>
      <c r="D4" s="52" t="n">
        <v>2.6</v>
      </c>
      <c r="E4" s="86" t="n">
        <v>0.08</v>
      </c>
      <c r="F4" s="86" t="n">
        <v>0.03</v>
      </c>
      <c r="G4" s="52" t="n">
        <v>0.8</v>
      </c>
      <c r="H4" s="86" t="n">
        <v>0.029</v>
      </c>
      <c r="I4" s="87" t="n">
        <v>3</v>
      </c>
      <c r="J4" s="88" t="n">
        <v>0.2</v>
      </c>
      <c r="K4" s="89" t="inlineStr">
        <is>
          <t>3PL pick/pack + separate carrier ship (no duplication). Return proc fee is per returned unit.</t>
        </is>
      </c>
    </row>
    <row r="5" ht="28" customHeight="1">
      <c r="A5" s="90" t="inlineStr">
        <is>
          <t>VAT POLICY: VAT is EXCLUDED from all margin calculations. VAT Rate is reference-only for future cash-flow extensions. All Base Prices must be entered EX-VAT.</t>
        </is>
      </c>
    </row>
    <row r="6" ht="28" customHeight="1">
      <c r="A6" s="91" t="inlineStr">
        <is>
          <t>LOGISTICS CLARITY: Fulfil Fee = pick/pack handling. Shipping Fee = carrier last-mile. This separation prevents duplication and improves cost transparency.</t>
        </is>
      </c>
    </row>
    <row r="7" ht="28" customHeight="1">
      <c r="A7" s="92" t="inlineStr">
        <is>
          <t>DUAL-LENS POLICY: Net Units (column K in Sales Orders) = econ_units = max(units_sold - return_units, 0). Always non-negative. Used for all CM calculations.</t>
        </is>
      </c>
    </row>
  </sheetData>
  <mergeCells count="4">
    <mergeCell ref="A6:K6"/>
    <mergeCell ref="A1:K1"/>
    <mergeCell ref="A7:K7"/>
    <mergeCell ref="A5:K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12" customWidth="1" min="4" max="4"/>
    <col width="10" customWidth="1" min="5" max="5"/>
    <col width="14" customWidth="1" min="6" max="6"/>
    <col width="11" customWidth="1" min="7" max="7"/>
    <col width="14" customWidth="1" min="8" max="8"/>
    <col width="14" customWidth="1" min="9" max="9"/>
    <col width="13" customWidth="1" min="10" max="10"/>
    <col width="13" customWidth="1" min="11" max="11"/>
    <col width="16" customWidth="1" min="12" max="12"/>
    <col width="14" customWidth="1" min="13" max="13"/>
  </cols>
  <sheetData>
    <row r="1" ht="32" customHeight="1">
      <c r="A1" s="1" t="inlineStr">
        <is>
          <t>08 | SALES ORDERS — Sample Transactions (All Prices Ex-VAT)</t>
        </is>
      </c>
    </row>
    <row r="2" ht="28" customHeight="1">
      <c r="A2" s="84" t="inlineStr">
        <is>
          <t>Order Date</t>
        </is>
      </c>
      <c r="B2" s="84" t="inlineStr">
        <is>
          <t>SKU ID</t>
        </is>
      </c>
      <c r="C2" s="84" t="inlineStr">
        <is>
          <t>SKU Name</t>
        </is>
      </c>
      <c r="D2" s="84" t="inlineStr">
        <is>
          <t>Channel</t>
        </is>
      </c>
      <c r="E2" s="84" t="inlineStr">
        <is>
          <t>Units</t>
        </is>
      </c>
      <c r="F2" s="84" t="inlineStr">
        <is>
          <t>List Price
(ex-VAT)</t>
        </is>
      </c>
      <c r="G2" s="84" t="inlineStr">
        <is>
          <t>Discount %</t>
        </is>
      </c>
      <c r="H2" s="84" t="inlineStr">
        <is>
          <t>Net Price
(ex-VAT)</t>
        </is>
      </c>
      <c r="I2" s="84" t="inlineStr">
        <is>
          <t>Gross Revenue</t>
        </is>
      </c>
      <c r="J2" s="84" t="inlineStr">
        <is>
          <t>Return Units</t>
        </is>
      </c>
      <c r="K2" s="84" t="inlineStr">
        <is>
          <t>Net Units</t>
        </is>
      </c>
      <c r="L2" s="84" t="inlineStr">
        <is>
          <t>Shipping Income</t>
        </is>
      </c>
      <c r="M2" s="84" t="inlineStr">
        <is>
          <t>Net Revenue</t>
        </is>
      </c>
    </row>
    <row r="3" ht="18" customHeight="1">
      <c r="A3" s="93" t="n">
        <v>45658</v>
      </c>
      <c r="B3" s="94" t="inlineStr">
        <is>
          <t>SKU-002</t>
        </is>
      </c>
      <c r="C3" s="95" t="inlineStr">
        <is>
          <t>Hyaluronic Acid Moisturiser 50ml</t>
        </is>
      </c>
      <c r="D3" s="94" t="inlineStr">
        <is>
          <t>Amazon</t>
        </is>
      </c>
      <c r="E3" s="96" t="n">
        <v>34</v>
      </c>
      <c r="F3" s="52" t="n">
        <v>28.99</v>
      </c>
      <c r="G3" s="97" t="n">
        <v>0</v>
      </c>
      <c r="H3" s="85">
        <f>F3*(1-G3)</f>
        <v/>
      </c>
      <c r="I3" s="85">
        <f>E3*H3</f>
        <v/>
      </c>
      <c r="J3" s="96" t="n">
        <v>2</v>
      </c>
      <c r="K3" s="96" t="n">
        <v>32</v>
      </c>
      <c r="L3" s="52" t="n">
        <v>0</v>
      </c>
      <c r="M3" s="85">
        <f>K3*H3+L3</f>
        <v/>
      </c>
    </row>
    <row r="4" ht="18" customHeight="1">
      <c r="A4" s="98" t="n">
        <v>45660</v>
      </c>
      <c r="B4" s="99" t="inlineStr">
        <is>
          <t>SKU-010</t>
        </is>
      </c>
      <c r="C4" s="100" t="inlineStr">
        <is>
          <t>Micellar Cleansing Water 250ml</t>
        </is>
      </c>
      <c r="D4" s="99" t="inlineStr">
        <is>
          <t>Amazon</t>
        </is>
      </c>
      <c r="E4" s="96" t="n">
        <v>80</v>
      </c>
      <c r="F4" s="52" t="n">
        <v>18.99</v>
      </c>
      <c r="G4" s="97" t="n">
        <v>0</v>
      </c>
      <c r="H4" s="85">
        <f>F4*(1-G4)</f>
        <v/>
      </c>
      <c r="I4" s="85">
        <f>E4*H4</f>
        <v/>
      </c>
      <c r="J4" s="96" t="n">
        <v>5</v>
      </c>
      <c r="K4" s="96" t="n">
        <v>75</v>
      </c>
      <c r="L4" s="52" t="n">
        <v>0</v>
      </c>
      <c r="M4" s="85">
        <f>K4*H4+L4</f>
        <v/>
      </c>
    </row>
    <row r="5" ht="18" customHeight="1">
      <c r="A5" s="93" t="n">
        <v>45662</v>
      </c>
      <c r="B5" s="94" t="inlineStr">
        <is>
          <t>SKU-001</t>
        </is>
      </c>
      <c r="C5" s="95" t="inlineStr">
        <is>
          <t>Vitamin C Brightening Serum 30ml</t>
        </is>
      </c>
      <c r="D5" s="94" t="inlineStr">
        <is>
          <t>Amazon</t>
        </is>
      </c>
      <c r="E5" s="96" t="n">
        <v>32</v>
      </c>
      <c r="F5" s="52" t="n">
        <v>34.99</v>
      </c>
      <c r="G5" s="97" t="n">
        <v>0</v>
      </c>
      <c r="H5" s="85">
        <f>F5*(1-G5)</f>
        <v/>
      </c>
      <c r="I5" s="85">
        <f>E5*H5</f>
        <v/>
      </c>
      <c r="J5" s="96" t="n">
        <v>2</v>
      </c>
      <c r="K5" s="96" t="n">
        <v>30</v>
      </c>
      <c r="L5" s="52" t="n">
        <v>0</v>
      </c>
      <c r="M5" s="85">
        <f>K5*H5+L5</f>
        <v/>
      </c>
    </row>
    <row r="6" ht="18" customHeight="1">
      <c r="A6" s="98" t="n">
        <v>45662</v>
      </c>
      <c r="B6" s="99" t="inlineStr">
        <is>
          <t>SKU-006</t>
        </is>
      </c>
      <c r="C6" s="100" t="inlineStr">
        <is>
          <t>Niacinamide Pore Minimiser Serum</t>
        </is>
      </c>
      <c r="D6" s="99" t="inlineStr">
        <is>
          <t>DTC</t>
        </is>
      </c>
      <c r="E6" s="96" t="n">
        <v>39</v>
      </c>
      <c r="F6" s="52" t="n">
        <v>31.99</v>
      </c>
      <c r="G6" s="97" t="n">
        <v>0</v>
      </c>
      <c r="H6" s="85">
        <f>F6*(1-G6)</f>
        <v/>
      </c>
      <c r="I6" s="85">
        <f>E6*H6</f>
        <v/>
      </c>
      <c r="J6" s="96" t="n">
        <v>1</v>
      </c>
      <c r="K6" s="96" t="n">
        <v>38</v>
      </c>
      <c r="L6" s="52" t="n">
        <v>0</v>
      </c>
      <c r="M6" s="85">
        <f>K6*H6+L6</f>
        <v/>
      </c>
    </row>
    <row r="7" ht="18" customHeight="1">
      <c r="A7" s="93" t="n">
        <v>45662</v>
      </c>
      <c r="B7" s="94" t="inlineStr">
        <is>
          <t>SKU-006</t>
        </is>
      </c>
      <c r="C7" s="95" t="inlineStr">
        <is>
          <t>Niacinamide Pore Minimiser Serum</t>
        </is>
      </c>
      <c r="D7" s="94" t="inlineStr">
        <is>
          <t>Amazon</t>
        </is>
      </c>
      <c r="E7" s="96" t="n">
        <v>70</v>
      </c>
      <c r="F7" s="52" t="n">
        <v>31.99</v>
      </c>
      <c r="G7" s="97" t="n">
        <v>0</v>
      </c>
      <c r="H7" s="85">
        <f>F7*(1-G7)</f>
        <v/>
      </c>
      <c r="I7" s="85">
        <f>E7*H7</f>
        <v/>
      </c>
      <c r="J7" s="96" t="n">
        <v>4</v>
      </c>
      <c r="K7" s="96" t="n">
        <v>66</v>
      </c>
      <c r="L7" s="52" t="n">
        <v>0</v>
      </c>
      <c r="M7" s="85">
        <f>K7*H7+L7</f>
        <v/>
      </c>
    </row>
    <row r="8" ht="18" customHeight="1">
      <c r="A8" s="98" t="n">
        <v>45663</v>
      </c>
      <c r="B8" s="99" t="inlineStr">
        <is>
          <t>SKU-011</t>
        </is>
      </c>
      <c r="C8" s="100" t="inlineStr">
        <is>
          <t>Peptide Firming Serum 30ml</t>
        </is>
      </c>
      <c r="D8" s="99" t="inlineStr">
        <is>
          <t>Amazon</t>
        </is>
      </c>
      <c r="E8" s="96" t="n">
        <v>103</v>
      </c>
      <c r="F8" s="52" t="n">
        <v>44.99</v>
      </c>
      <c r="G8" s="97" t="n">
        <v>0.05</v>
      </c>
      <c r="H8" s="85">
        <f>F8*(1-G8)</f>
        <v/>
      </c>
      <c r="I8" s="85">
        <f>E8*H8</f>
        <v/>
      </c>
      <c r="J8" s="96" t="n">
        <v>6</v>
      </c>
      <c r="K8" s="96" t="n">
        <v>97</v>
      </c>
      <c r="L8" s="52" t="n">
        <v>0</v>
      </c>
      <c r="M8" s="85">
        <f>K8*H8+L8</f>
        <v/>
      </c>
    </row>
    <row r="9" ht="18" customHeight="1">
      <c r="A9" s="93" t="n">
        <v>45665</v>
      </c>
      <c r="B9" s="94" t="inlineStr">
        <is>
          <t>SKU-003</t>
        </is>
      </c>
      <c r="C9" s="95" t="inlineStr">
        <is>
          <t>Retinol Night Cream 30ml</t>
        </is>
      </c>
      <c r="D9" s="94" t="inlineStr">
        <is>
          <t>DTC</t>
        </is>
      </c>
      <c r="E9" s="96" t="n">
        <v>5</v>
      </c>
      <c r="F9" s="52" t="n">
        <v>42.99</v>
      </c>
      <c r="G9" s="97" t="n">
        <v>0.1</v>
      </c>
      <c r="H9" s="85">
        <f>F9*(1-G9)</f>
        <v/>
      </c>
      <c r="I9" s="85">
        <f>E9*H9</f>
        <v/>
      </c>
      <c r="J9" s="96" t="n">
        <v>0</v>
      </c>
      <c r="K9" s="96" t="n">
        <v>5</v>
      </c>
      <c r="L9" s="52" t="n">
        <v>3.99</v>
      </c>
      <c r="M9" s="85">
        <f>K9*H9+L9</f>
        <v/>
      </c>
    </row>
    <row r="10" ht="18" customHeight="1">
      <c r="A10" s="98" t="n">
        <v>45665</v>
      </c>
      <c r="B10" s="99" t="inlineStr">
        <is>
          <t>SKU-001</t>
        </is>
      </c>
      <c r="C10" s="100" t="inlineStr">
        <is>
          <t>Vitamin C Brightening Serum 30ml</t>
        </is>
      </c>
      <c r="D10" s="99" t="inlineStr">
        <is>
          <t>DTC</t>
        </is>
      </c>
      <c r="E10" s="96" t="n">
        <v>69</v>
      </c>
      <c r="F10" s="52" t="n">
        <v>34.99</v>
      </c>
      <c r="G10" s="97" t="n">
        <v>0.15</v>
      </c>
      <c r="H10" s="85">
        <f>F10*(1-G10)</f>
        <v/>
      </c>
      <c r="I10" s="85">
        <f>E10*H10</f>
        <v/>
      </c>
      <c r="J10" s="96" t="n">
        <v>2</v>
      </c>
      <c r="K10" s="96" t="n">
        <v>67</v>
      </c>
      <c r="L10" s="52" t="n">
        <v>0</v>
      </c>
      <c r="M10" s="85">
        <f>K10*H10+L10</f>
        <v/>
      </c>
    </row>
    <row r="11" ht="18" customHeight="1">
      <c r="A11" s="93" t="n">
        <v>45665</v>
      </c>
      <c r="B11" s="94" t="inlineStr">
        <is>
          <t>SKU-009</t>
        </is>
      </c>
      <c r="C11" s="95" t="inlineStr">
        <is>
          <t>Ceramide Barrier Repair Cream 50ml</t>
        </is>
      </c>
      <c r="D11" s="94" t="inlineStr">
        <is>
          <t>Amazon</t>
        </is>
      </c>
      <c r="E11" s="96" t="n">
        <v>113</v>
      </c>
      <c r="F11" s="52" t="n">
        <v>29.99</v>
      </c>
      <c r="G11" s="97" t="n">
        <v>0</v>
      </c>
      <c r="H11" s="85">
        <f>F11*(1-G11)</f>
        <v/>
      </c>
      <c r="I11" s="85">
        <f>E11*H11</f>
        <v/>
      </c>
      <c r="J11" s="96" t="n">
        <v>7</v>
      </c>
      <c r="K11" s="96" t="n">
        <v>106</v>
      </c>
      <c r="L11" s="52" t="n">
        <v>0</v>
      </c>
      <c r="M11" s="85">
        <f>K11*H11+L11</f>
        <v/>
      </c>
    </row>
    <row r="12" ht="18" customHeight="1">
      <c r="A12" s="98" t="n">
        <v>45668</v>
      </c>
      <c r="B12" s="99" t="inlineStr">
        <is>
          <t>SKU-004</t>
        </is>
      </c>
      <c r="C12" s="100" t="inlineStr">
        <is>
          <t>SPF 50+ Daily Sunscreen 75ml</t>
        </is>
      </c>
      <c r="D12" s="99" t="inlineStr">
        <is>
          <t>Amazon</t>
        </is>
      </c>
      <c r="E12" s="96" t="n">
        <v>53</v>
      </c>
      <c r="F12" s="52" t="n">
        <v>22.99</v>
      </c>
      <c r="G12" s="97" t="n">
        <v>0.05</v>
      </c>
      <c r="H12" s="85">
        <f>F12*(1-G12)</f>
        <v/>
      </c>
      <c r="I12" s="85">
        <f>E12*H12</f>
        <v/>
      </c>
      <c r="J12" s="96" t="n">
        <v>3</v>
      </c>
      <c r="K12" s="96" t="n">
        <v>50</v>
      </c>
      <c r="L12" s="52" t="n">
        <v>0</v>
      </c>
      <c r="M12" s="85">
        <f>K12*H12+L12</f>
        <v/>
      </c>
    </row>
    <row r="13" ht="18" customHeight="1">
      <c r="A13" s="93" t="n">
        <v>45668</v>
      </c>
      <c r="B13" s="94" t="inlineStr">
        <is>
          <t>SKU-002</t>
        </is>
      </c>
      <c r="C13" s="95" t="inlineStr">
        <is>
          <t>Hyaluronic Acid Moisturiser 50ml</t>
        </is>
      </c>
      <c r="D13" s="94" t="inlineStr">
        <is>
          <t>DTC</t>
        </is>
      </c>
      <c r="E13" s="96" t="n">
        <v>109</v>
      </c>
      <c r="F13" s="52" t="n">
        <v>28.99</v>
      </c>
      <c r="G13" s="97" t="n">
        <v>0</v>
      </c>
      <c r="H13" s="85">
        <f>F13*(1-G13)</f>
        <v/>
      </c>
      <c r="I13" s="85">
        <f>E13*H13</f>
        <v/>
      </c>
      <c r="J13" s="96" t="n">
        <v>3</v>
      </c>
      <c r="K13" s="96" t="n">
        <v>106</v>
      </c>
      <c r="L13" s="52" t="n">
        <v>5.99</v>
      </c>
      <c r="M13" s="85">
        <f>K13*H13+L13</f>
        <v/>
      </c>
    </row>
    <row r="14" ht="18" customHeight="1">
      <c r="A14" s="98" t="n">
        <v>45671</v>
      </c>
      <c r="B14" s="99" t="inlineStr">
        <is>
          <t>SKU-002</t>
        </is>
      </c>
      <c r="C14" s="100" t="inlineStr">
        <is>
          <t>Hyaluronic Acid Moisturiser 50ml</t>
        </is>
      </c>
      <c r="D14" s="99" t="inlineStr">
        <is>
          <t>DTC</t>
        </is>
      </c>
      <c r="E14" s="96" t="n">
        <v>17</v>
      </c>
      <c r="F14" s="52" t="n">
        <v>28.99</v>
      </c>
      <c r="G14" s="97" t="n">
        <v>0.05</v>
      </c>
      <c r="H14" s="85">
        <f>F14*(1-G14)</f>
        <v/>
      </c>
      <c r="I14" s="85">
        <f>E14*H14</f>
        <v/>
      </c>
      <c r="J14" s="96" t="n">
        <v>1</v>
      </c>
      <c r="K14" s="96" t="n">
        <v>16</v>
      </c>
      <c r="L14" s="52" t="n">
        <v>3.99</v>
      </c>
      <c r="M14" s="85">
        <f>K14*H14+L14</f>
        <v/>
      </c>
    </row>
    <row r="15" ht="18" customHeight="1">
      <c r="A15" s="93" t="n">
        <v>45672</v>
      </c>
      <c r="B15" s="94" t="inlineStr">
        <is>
          <t>SKU-005</t>
        </is>
      </c>
      <c r="C15" s="95" t="inlineStr">
        <is>
          <t>AHA/BHA Exfoliating Toner 200ml</t>
        </is>
      </c>
      <c r="D15" s="94" t="inlineStr">
        <is>
          <t>DTC</t>
        </is>
      </c>
      <c r="E15" s="96" t="n">
        <v>25</v>
      </c>
      <c r="F15" s="52" t="n">
        <v>26.99</v>
      </c>
      <c r="G15" s="97" t="n">
        <v>0.1</v>
      </c>
      <c r="H15" s="85">
        <f>F15*(1-G15)</f>
        <v/>
      </c>
      <c r="I15" s="85">
        <f>E15*H15</f>
        <v/>
      </c>
      <c r="J15" s="96" t="n">
        <v>1</v>
      </c>
      <c r="K15" s="96" t="n">
        <v>24</v>
      </c>
      <c r="L15" s="52" t="n">
        <v>0</v>
      </c>
      <c r="M15" s="85">
        <f>K15*H15+L15</f>
        <v/>
      </c>
    </row>
    <row r="16" ht="18" customHeight="1">
      <c r="A16" s="98" t="n">
        <v>45673</v>
      </c>
      <c r="B16" s="99" t="inlineStr">
        <is>
          <t>SKU-004</t>
        </is>
      </c>
      <c r="C16" s="100" t="inlineStr">
        <is>
          <t>SPF 50+ Daily Sunscreen 75ml</t>
        </is>
      </c>
      <c r="D16" s="99" t="inlineStr">
        <is>
          <t>Amazon</t>
        </is>
      </c>
      <c r="E16" s="96" t="n">
        <v>13</v>
      </c>
      <c r="F16" s="52" t="n">
        <v>22.99</v>
      </c>
      <c r="G16" s="97" t="n">
        <v>0.05</v>
      </c>
      <c r="H16" s="85">
        <f>F16*(1-G16)</f>
        <v/>
      </c>
      <c r="I16" s="85">
        <f>E16*H16</f>
        <v/>
      </c>
      <c r="J16" s="96" t="n">
        <v>1</v>
      </c>
      <c r="K16" s="96" t="n">
        <v>12</v>
      </c>
      <c r="L16" s="52" t="n">
        <v>0</v>
      </c>
      <c r="M16" s="85">
        <f>K16*H16+L16</f>
        <v/>
      </c>
    </row>
    <row r="17" ht="18" customHeight="1">
      <c r="A17" s="93" t="n">
        <v>45674</v>
      </c>
      <c r="B17" s="94" t="inlineStr">
        <is>
          <t>SKU-003</t>
        </is>
      </c>
      <c r="C17" s="95" t="inlineStr">
        <is>
          <t>Retinol Night Cream 30ml</t>
        </is>
      </c>
      <c r="D17" s="94" t="inlineStr">
        <is>
          <t>DTC</t>
        </is>
      </c>
      <c r="E17" s="96" t="n">
        <v>75</v>
      </c>
      <c r="F17" s="52" t="n">
        <v>42.99</v>
      </c>
      <c r="G17" s="97" t="n">
        <v>0</v>
      </c>
      <c r="H17" s="85">
        <f>F17*(1-G17)</f>
        <v/>
      </c>
      <c r="I17" s="85">
        <f>E17*H17</f>
        <v/>
      </c>
      <c r="J17" s="96" t="n">
        <v>2</v>
      </c>
      <c r="K17" s="96" t="n">
        <v>73</v>
      </c>
      <c r="L17" s="52" t="n">
        <v>3.99</v>
      </c>
      <c r="M17" s="85">
        <f>K17*H17+L17</f>
        <v/>
      </c>
    </row>
    <row r="18" ht="18" customHeight="1">
      <c r="A18" s="98" t="n">
        <v>45677</v>
      </c>
      <c r="B18" s="99" t="inlineStr">
        <is>
          <t>SKU-011</t>
        </is>
      </c>
      <c r="C18" s="100" t="inlineStr">
        <is>
          <t>Peptide Firming Serum 30ml</t>
        </is>
      </c>
      <c r="D18" s="99" t="inlineStr">
        <is>
          <t>Amazon</t>
        </is>
      </c>
      <c r="E18" s="96" t="n">
        <v>106</v>
      </c>
      <c r="F18" s="52" t="n">
        <v>44.99</v>
      </c>
      <c r="G18" s="97" t="n">
        <v>0.2</v>
      </c>
      <c r="H18" s="85">
        <f>F18*(1-G18)</f>
        <v/>
      </c>
      <c r="I18" s="85">
        <f>E18*H18</f>
        <v/>
      </c>
      <c r="J18" s="96" t="n">
        <v>6</v>
      </c>
      <c r="K18" s="96" t="n">
        <v>100</v>
      </c>
      <c r="L18" s="52" t="n">
        <v>0</v>
      </c>
      <c r="M18" s="85">
        <f>K18*H18+L18</f>
        <v/>
      </c>
    </row>
    <row r="19" ht="18" customHeight="1">
      <c r="A19" s="93" t="n">
        <v>45678</v>
      </c>
      <c r="B19" s="94" t="inlineStr">
        <is>
          <t>SKU-009</t>
        </is>
      </c>
      <c r="C19" s="95" t="inlineStr">
        <is>
          <t>Ceramide Barrier Repair Cream 50ml</t>
        </is>
      </c>
      <c r="D19" s="94" t="inlineStr">
        <is>
          <t>Amazon</t>
        </is>
      </c>
      <c r="E19" s="96" t="n">
        <v>81</v>
      </c>
      <c r="F19" s="52" t="n">
        <v>29.99</v>
      </c>
      <c r="G19" s="97" t="n">
        <v>0.05</v>
      </c>
      <c r="H19" s="85">
        <f>F19*(1-G19)</f>
        <v/>
      </c>
      <c r="I19" s="85">
        <f>E19*H19</f>
        <v/>
      </c>
      <c r="J19" s="96" t="n">
        <v>5</v>
      </c>
      <c r="K19" s="96" t="n">
        <v>76</v>
      </c>
      <c r="L19" s="52" t="n">
        <v>0</v>
      </c>
      <c r="M19" s="85">
        <f>K19*H19+L19</f>
        <v/>
      </c>
    </row>
    <row r="20" ht="18" customHeight="1">
      <c r="A20" s="98" t="n">
        <v>45679</v>
      </c>
      <c r="B20" s="99" t="inlineStr">
        <is>
          <t>SKU-007</t>
        </is>
      </c>
      <c r="C20" s="100" t="inlineStr">
        <is>
          <t>Collagen Boosting Eye Cream 15ml</t>
        </is>
      </c>
      <c r="D20" s="99" t="inlineStr">
        <is>
          <t>DTC</t>
        </is>
      </c>
      <c r="E20" s="96" t="n">
        <v>66</v>
      </c>
      <c r="F20" s="52" t="n">
        <v>38.99</v>
      </c>
      <c r="G20" s="97" t="n">
        <v>0</v>
      </c>
      <c r="H20" s="85">
        <f>F20*(1-G20)</f>
        <v/>
      </c>
      <c r="I20" s="85">
        <f>E20*H20</f>
        <v/>
      </c>
      <c r="J20" s="96" t="n">
        <v>2</v>
      </c>
      <c r="K20" s="96" t="n">
        <v>64</v>
      </c>
      <c r="L20" s="52" t="n">
        <v>4.99</v>
      </c>
      <c r="M20" s="85">
        <f>K20*H20+L20</f>
        <v/>
      </c>
    </row>
    <row r="21" ht="18" customHeight="1">
      <c r="A21" s="93" t="n">
        <v>45682</v>
      </c>
      <c r="B21" s="94" t="inlineStr">
        <is>
          <t>SKU-002</t>
        </is>
      </c>
      <c r="C21" s="95" t="inlineStr">
        <is>
          <t>Hyaluronic Acid Moisturiser 50ml</t>
        </is>
      </c>
      <c r="D21" s="94" t="inlineStr">
        <is>
          <t>Amazon</t>
        </is>
      </c>
      <c r="E21" s="96" t="n">
        <v>89</v>
      </c>
      <c r="F21" s="52" t="n">
        <v>28.99</v>
      </c>
      <c r="G21" s="97" t="n">
        <v>0.1</v>
      </c>
      <c r="H21" s="85">
        <f>F21*(1-G21)</f>
        <v/>
      </c>
      <c r="I21" s="85">
        <f>E21*H21</f>
        <v/>
      </c>
      <c r="J21" s="96" t="n">
        <v>5</v>
      </c>
      <c r="K21" s="96" t="n">
        <v>84</v>
      </c>
      <c r="L21" s="52" t="n">
        <v>0</v>
      </c>
      <c r="M21" s="85">
        <f>K21*H21+L21</f>
        <v/>
      </c>
    </row>
    <row r="22" ht="18" customHeight="1">
      <c r="A22" s="98" t="n">
        <v>45684</v>
      </c>
      <c r="B22" s="99" t="inlineStr">
        <is>
          <t>SKU-011</t>
        </is>
      </c>
      <c r="C22" s="100" t="inlineStr">
        <is>
          <t>Peptide Firming Serum 30ml</t>
        </is>
      </c>
      <c r="D22" s="99" t="inlineStr">
        <is>
          <t>DTC</t>
        </is>
      </c>
      <c r="E22" s="96" t="n">
        <v>94</v>
      </c>
      <c r="F22" s="52" t="n">
        <v>44.99</v>
      </c>
      <c r="G22" s="97" t="n">
        <v>0.2</v>
      </c>
      <c r="H22" s="85">
        <f>F22*(1-G22)</f>
        <v/>
      </c>
      <c r="I22" s="85">
        <f>E22*H22</f>
        <v/>
      </c>
      <c r="J22" s="96" t="n">
        <v>3</v>
      </c>
      <c r="K22" s="96" t="n">
        <v>91</v>
      </c>
      <c r="L22" s="52" t="n">
        <v>0</v>
      </c>
      <c r="M22" s="85">
        <f>K22*H22+L22</f>
        <v/>
      </c>
    </row>
    <row r="23" ht="18" customHeight="1">
      <c r="A23" s="93" t="n">
        <v>45685</v>
      </c>
      <c r="B23" s="94" t="inlineStr">
        <is>
          <t>SKU-001</t>
        </is>
      </c>
      <c r="C23" s="95" t="inlineStr">
        <is>
          <t>Vitamin C Brightening Serum 30ml</t>
        </is>
      </c>
      <c r="D23" s="94" t="inlineStr">
        <is>
          <t>Amazon</t>
        </is>
      </c>
      <c r="E23" s="96" t="n">
        <v>100</v>
      </c>
      <c r="F23" s="52" t="n">
        <v>34.99</v>
      </c>
      <c r="G23" s="97" t="n">
        <v>0.05</v>
      </c>
      <c r="H23" s="85">
        <f>F23*(1-G23)</f>
        <v/>
      </c>
      <c r="I23" s="85">
        <f>E23*H23</f>
        <v/>
      </c>
      <c r="J23" s="96" t="n">
        <v>6</v>
      </c>
      <c r="K23" s="96" t="n">
        <v>94</v>
      </c>
      <c r="L23" s="52" t="n">
        <v>0</v>
      </c>
      <c r="M23" s="85">
        <f>K23*H23+L23</f>
        <v/>
      </c>
    </row>
    <row r="24" ht="18" customHeight="1">
      <c r="A24" s="98" t="n">
        <v>45686</v>
      </c>
      <c r="B24" s="99" t="inlineStr">
        <is>
          <t>SKU-011</t>
        </is>
      </c>
      <c r="C24" s="100" t="inlineStr">
        <is>
          <t>Peptide Firming Serum 30ml</t>
        </is>
      </c>
      <c r="D24" s="99" t="inlineStr">
        <is>
          <t>DTC</t>
        </is>
      </c>
      <c r="E24" s="96" t="n">
        <v>112</v>
      </c>
      <c r="F24" s="52" t="n">
        <v>44.99</v>
      </c>
      <c r="G24" s="97" t="n">
        <v>0</v>
      </c>
      <c r="H24" s="85">
        <f>F24*(1-G24)</f>
        <v/>
      </c>
      <c r="I24" s="85">
        <f>E24*H24</f>
        <v/>
      </c>
      <c r="J24" s="96" t="n">
        <v>3</v>
      </c>
      <c r="K24" s="96" t="n">
        <v>109</v>
      </c>
      <c r="L24" s="52" t="n">
        <v>0</v>
      </c>
      <c r="M24" s="85">
        <f>K24*H24+L24</f>
        <v/>
      </c>
    </row>
    <row r="25" ht="18" customHeight="1">
      <c r="A25" s="93" t="n">
        <v>45688</v>
      </c>
      <c r="B25" s="94" t="inlineStr">
        <is>
          <t>SKU-001</t>
        </is>
      </c>
      <c r="C25" s="95" t="inlineStr">
        <is>
          <t>Vitamin C Brightening Serum 30ml</t>
        </is>
      </c>
      <c r="D25" s="94" t="inlineStr">
        <is>
          <t>Amazon</t>
        </is>
      </c>
      <c r="E25" s="96" t="n">
        <v>117</v>
      </c>
      <c r="F25" s="52" t="n">
        <v>34.99</v>
      </c>
      <c r="G25" s="97" t="n">
        <v>0.15</v>
      </c>
      <c r="H25" s="85">
        <f>F25*(1-G25)</f>
        <v/>
      </c>
      <c r="I25" s="85">
        <f>E25*H25</f>
        <v/>
      </c>
      <c r="J25" s="96" t="n">
        <v>7</v>
      </c>
      <c r="K25" s="96" t="n">
        <v>110</v>
      </c>
      <c r="L25" s="52" t="n">
        <v>0</v>
      </c>
      <c r="M25" s="85">
        <f>K25*H25+L25</f>
        <v/>
      </c>
    </row>
    <row r="26" ht="18" customHeight="1">
      <c r="A26" s="98" t="n">
        <v>45689</v>
      </c>
      <c r="B26" s="99" t="inlineStr">
        <is>
          <t>SKU-004</t>
        </is>
      </c>
      <c r="C26" s="100" t="inlineStr">
        <is>
          <t>SPF 50+ Daily Sunscreen 75ml</t>
        </is>
      </c>
      <c r="D26" s="99" t="inlineStr">
        <is>
          <t>Amazon</t>
        </is>
      </c>
      <c r="E26" s="96" t="n">
        <v>99</v>
      </c>
      <c r="F26" s="52" t="n">
        <v>22.99</v>
      </c>
      <c r="G26" s="97" t="n">
        <v>0</v>
      </c>
      <c r="H26" s="85">
        <f>F26*(1-G26)</f>
        <v/>
      </c>
      <c r="I26" s="85">
        <f>E26*H26</f>
        <v/>
      </c>
      <c r="J26" s="96" t="n">
        <v>6</v>
      </c>
      <c r="K26" s="96" t="n">
        <v>93</v>
      </c>
      <c r="L26" s="52" t="n">
        <v>0</v>
      </c>
      <c r="M26" s="85">
        <f>K26*H26+L26</f>
        <v/>
      </c>
    </row>
    <row r="27" ht="18" customHeight="1">
      <c r="A27" s="93" t="n">
        <v>45689</v>
      </c>
      <c r="B27" s="94" t="inlineStr">
        <is>
          <t>SKU-003</t>
        </is>
      </c>
      <c r="C27" s="95" t="inlineStr">
        <is>
          <t>Retinol Night Cream 30ml</t>
        </is>
      </c>
      <c r="D27" s="94" t="inlineStr">
        <is>
          <t>DTC</t>
        </is>
      </c>
      <c r="E27" s="96" t="n">
        <v>53</v>
      </c>
      <c r="F27" s="52" t="n">
        <v>42.99</v>
      </c>
      <c r="G27" s="97" t="n">
        <v>0.05</v>
      </c>
      <c r="H27" s="85">
        <f>F27*(1-G27)</f>
        <v/>
      </c>
      <c r="I27" s="85">
        <f>E27*H27</f>
        <v/>
      </c>
      <c r="J27" s="96" t="n">
        <v>2</v>
      </c>
      <c r="K27" s="96" t="n">
        <v>51</v>
      </c>
      <c r="L27" s="52" t="n">
        <v>5.99</v>
      </c>
      <c r="M27" s="85">
        <f>K27*H27+L27</f>
        <v/>
      </c>
    </row>
    <row r="28" ht="18" customHeight="1">
      <c r="A28" s="98" t="n">
        <v>45689</v>
      </c>
      <c r="B28" s="99" t="inlineStr">
        <is>
          <t>SKU-012</t>
        </is>
      </c>
      <c r="C28" s="100" t="inlineStr">
        <is>
          <t>Gentle Foaming Cleanser 150ml</t>
        </is>
      </c>
      <c r="D28" s="99" t="inlineStr">
        <is>
          <t>DTC</t>
        </is>
      </c>
      <c r="E28" s="96" t="n">
        <v>100</v>
      </c>
      <c r="F28" s="52" t="n">
        <v>19.99</v>
      </c>
      <c r="G28" s="97" t="n">
        <v>0.15</v>
      </c>
      <c r="H28" s="85">
        <f>F28*(1-G28)</f>
        <v/>
      </c>
      <c r="I28" s="85">
        <f>E28*H28</f>
        <v/>
      </c>
      <c r="J28" s="96" t="n">
        <v>3</v>
      </c>
      <c r="K28" s="96" t="n">
        <v>97</v>
      </c>
      <c r="L28" s="52" t="n">
        <v>4.99</v>
      </c>
      <c r="M28" s="85">
        <f>K28*H28+L28</f>
        <v/>
      </c>
    </row>
    <row r="29" ht="18" customHeight="1">
      <c r="A29" s="93" t="n">
        <v>45691</v>
      </c>
      <c r="B29" s="94" t="inlineStr">
        <is>
          <t>SKU-009</t>
        </is>
      </c>
      <c r="C29" s="95" t="inlineStr">
        <is>
          <t>Ceramide Barrier Repair Cream 50ml</t>
        </is>
      </c>
      <c r="D29" s="94" t="inlineStr">
        <is>
          <t>Amazon</t>
        </is>
      </c>
      <c r="E29" s="96" t="n">
        <v>69</v>
      </c>
      <c r="F29" s="52" t="n">
        <v>29.99</v>
      </c>
      <c r="G29" s="97" t="n">
        <v>0</v>
      </c>
      <c r="H29" s="85">
        <f>F29*(1-G29)</f>
        <v/>
      </c>
      <c r="I29" s="85">
        <f>E29*H29</f>
        <v/>
      </c>
      <c r="J29" s="96" t="n">
        <v>4</v>
      </c>
      <c r="K29" s="96" t="n">
        <v>65</v>
      </c>
      <c r="L29" s="52" t="n">
        <v>0</v>
      </c>
      <c r="M29" s="85">
        <f>K29*H29+L29</f>
        <v/>
      </c>
    </row>
    <row r="30" ht="18" customHeight="1">
      <c r="A30" s="98" t="n">
        <v>45693</v>
      </c>
      <c r="B30" s="99" t="inlineStr">
        <is>
          <t>SKU-001</t>
        </is>
      </c>
      <c r="C30" s="100" t="inlineStr">
        <is>
          <t>Vitamin C Brightening Serum 30ml</t>
        </is>
      </c>
      <c r="D30" s="99" t="inlineStr">
        <is>
          <t>Amazon</t>
        </is>
      </c>
      <c r="E30" s="96" t="n">
        <v>94</v>
      </c>
      <c r="F30" s="52" t="n">
        <v>34.99</v>
      </c>
      <c r="G30" s="97" t="n">
        <v>0.1</v>
      </c>
      <c r="H30" s="85">
        <f>F30*(1-G30)</f>
        <v/>
      </c>
      <c r="I30" s="85">
        <f>E30*H30</f>
        <v/>
      </c>
      <c r="J30" s="96" t="n">
        <v>6</v>
      </c>
      <c r="K30" s="96" t="n">
        <v>88</v>
      </c>
      <c r="L30" s="52" t="n">
        <v>0</v>
      </c>
      <c r="M30" s="85">
        <f>K30*H30+L30</f>
        <v/>
      </c>
    </row>
    <row r="31" ht="18" customHeight="1">
      <c r="A31" s="93" t="n">
        <v>45693</v>
      </c>
      <c r="B31" s="94" t="inlineStr">
        <is>
          <t>SKU-011</t>
        </is>
      </c>
      <c r="C31" s="95" t="inlineStr">
        <is>
          <t>Peptide Firming Serum 30ml</t>
        </is>
      </c>
      <c r="D31" s="94" t="inlineStr">
        <is>
          <t>DTC</t>
        </is>
      </c>
      <c r="E31" s="96" t="n">
        <v>32</v>
      </c>
      <c r="F31" s="52" t="n">
        <v>44.99</v>
      </c>
      <c r="G31" s="97" t="n">
        <v>0.15</v>
      </c>
      <c r="H31" s="85">
        <f>F31*(1-G31)</f>
        <v/>
      </c>
      <c r="I31" s="85">
        <f>E31*H31</f>
        <v/>
      </c>
      <c r="J31" s="96" t="n">
        <v>1</v>
      </c>
      <c r="K31" s="96" t="n">
        <v>31</v>
      </c>
      <c r="L31" s="52" t="n">
        <v>0</v>
      </c>
      <c r="M31" s="85">
        <f>K31*H31+L31</f>
        <v/>
      </c>
    </row>
    <row r="32" ht="18" customHeight="1">
      <c r="A32" s="98" t="n">
        <v>45693</v>
      </c>
      <c r="B32" s="99" t="inlineStr">
        <is>
          <t>SKU-008</t>
        </is>
      </c>
      <c r="C32" s="100" t="inlineStr">
        <is>
          <t>Rose Hip Facial Oil 30ml</t>
        </is>
      </c>
      <c r="D32" s="99" t="inlineStr">
        <is>
          <t>Amazon</t>
        </is>
      </c>
      <c r="E32" s="96" t="n">
        <v>116</v>
      </c>
      <c r="F32" s="52" t="n">
        <v>35.99</v>
      </c>
      <c r="G32" s="97" t="n">
        <v>0</v>
      </c>
      <c r="H32" s="85">
        <f>F32*(1-G32)</f>
        <v/>
      </c>
      <c r="I32" s="85">
        <f>E32*H32</f>
        <v/>
      </c>
      <c r="J32" s="96" t="n">
        <v>7</v>
      </c>
      <c r="K32" s="96" t="n">
        <v>109</v>
      </c>
      <c r="L32" s="52" t="n">
        <v>0</v>
      </c>
      <c r="M32" s="85">
        <f>K32*H32+L32</f>
        <v/>
      </c>
    </row>
    <row r="33" ht="18" customHeight="1">
      <c r="A33" s="93" t="n">
        <v>45697</v>
      </c>
      <c r="B33" s="94" t="inlineStr">
        <is>
          <t>SKU-007</t>
        </is>
      </c>
      <c r="C33" s="95" t="inlineStr">
        <is>
          <t>Collagen Boosting Eye Cream 15ml</t>
        </is>
      </c>
      <c r="D33" s="94" t="inlineStr">
        <is>
          <t>DTC</t>
        </is>
      </c>
      <c r="E33" s="96" t="n">
        <v>61</v>
      </c>
      <c r="F33" s="52" t="n">
        <v>38.99</v>
      </c>
      <c r="G33" s="97" t="n">
        <v>0.15</v>
      </c>
      <c r="H33" s="85">
        <f>F33*(1-G33)</f>
        <v/>
      </c>
      <c r="I33" s="85">
        <f>E33*H33</f>
        <v/>
      </c>
      <c r="J33" s="96" t="n">
        <v>2</v>
      </c>
      <c r="K33" s="96" t="n">
        <v>59</v>
      </c>
      <c r="L33" s="52" t="n">
        <v>4.99</v>
      </c>
      <c r="M33" s="85">
        <f>K33*H33+L33</f>
        <v/>
      </c>
    </row>
    <row r="34" ht="18" customHeight="1">
      <c r="A34" s="98" t="n">
        <v>45701</v>
      </c>
      <c r="B34" s="99" t="inlineStr">
        <is>
          <t>SKU-005</t>
        </is>
      </c>
      <c r="C34" s="100" t="inlineStr">
        <is>
          <t>AHA/BHA Exfoliating Toner 200ml</t>
        </is>
      </c>
      <c r="D34" s="99" t="inlineStr">
        <is>
          <t>Amazon</t>
        </is>
      </c>
      <c r="E34" s="96" t="n">
        <v>32</v>
      </c>
      <c r="F34" s="52" t="n">
        <v>26.99</v>
      </c>
      <c r="G34" s="97" t="n">
        <v>0.05</v>
      </c>
      <c r="H34" s="85">
        <f>F34*(1-G34)</f>
        <v/>
      </c>
      <c r="I34" s="85">
        <f>E34*H34</f>
        <v/>
      </c>
      <c r="J34" s="96" t="n">
        <v>2</v>
      </c>
      <c r="K34" s="96" t="n">
        <v>30</v>
      </c>
      <c r="L34" s="52" t="n">
        <v>0</v>
      </c>
      <c r="M34" s="85">
        <f>K34*H34+L34</f>
        <v/>
      </c>
    </row>
    <row r="35" ht="18" customHeight="1">
      <c r="A35" s="93" t="n">
        <v>45701</v>
      </c>
      <c r="B35" s="94" t="inlineStr">
        <is>
          <t>SKU-002</t>
        </is>
      </c>
      <c r="C35" s="95" t="inlineStr">
        <is>
          <t>Hyaluronic Acid Moisturiser 50ml</t>
        </is>
      </c>
      <c r="D35" s="94" t="inlineStr">
        <is>
          <t>Amazon</t>
        </is>
      </c>
      <c r="E35" s="96" t="n">
        <v>29</v>
      </c>
      <c r="F35" s="52" t="n">
        <v>28.99</v>
      </c>
      <c r="G35" s="97" t="n">
        <v>0</v>
      </c>
      <c r="H35" s="85">
        <f>F35*(1-G35)</f>
        <v/>
      </c>
      <c r="I35" s="85">
        <f>E35*H35</f>
        <v/>
      </c>
      <c r="J35" s="96" t="n">
        <v>2</v>
      </c>
      <c r="K35" s="96" t="n">
        <v>27</v>
      </c>
      <c r="L35" s="52" t="n">
        <v>0</v>
      </c>
      <c r="M35" s="85">
        <f>K35*H35+L35</f>
        <v/>
      </c>
    </row>
    <row r="36" ht="18" customHeight="1">
      <c r="A36" s="98" t="n">
        <v>45703</v>
      </c>
      <c r="B36" s="99" t="inlineStr">
        <is>
          <t>SKU-007</t>
        </is>
      </c>
      <c r="C36" s="100" t="inlineStr">
        <is>
          <t>Collagen Boosting Eye Cream 15ml</t>
        </is>
      </c>
      <c r="D36" s="99" t="inlineStr">
        <is>
          <t>DTC</t>
        </is>
      </c>
      <c r="E36" s="96" t="n">
        <v>64</v>
      </c>
      <c r="F36" s="52" t="n">
        <v>38.99</v>
      </c>
      <c r="G36" s="97" t="n">
        <v>0.2</v>
      </c>
      <c r="H36" s="85">
        <f>F36*(1-G36)</f>
        <v/>
      </c>
      <c r="I36" s="85">
        <f>E36*H36</f>
        <v/>
      </c>
      <c r="J36" s="96" t="n">
        <v>2</v>
      </c>
      <c r="K36" s="96" t="n">
        <v>62</v>
      </c>
      <c r="L36" s="52" t="n">
        <v>0</v>
      </c>
      <c r="M36" s="85">
        <f>K36*H36+L36</f>
        <v/>
      </c>
    </row>
    <row r="37" ht="18" customHeight="1">
      <c r="A37" s="93" t="n">
        <v>45708</v>
      </c>
      <c r="B37" s="94" t="inlineStr">
        <is>
          <t>SKU-011</t>
        </is>
      </c>
      <c r="C37" s="95" t="inlineStr">
        <is>
          <t>Peptide Firming Serum 30ml</t>
        </is>
      </c>
      <c r="D37" s="94" t="inlineStr">
        <is>
          <t>DTC</t>
        </is>
      </c>
      <c r="E37" s="96" t="n">
        <v>23</v>
      </c>
      <c r="F37" s="52" t="n">
        <v>44.99</v>
      </c>
      <c r="G37" s="97" t="n">
        <v>0.05</v>
      </c>
      <c r="H37" s="85">
        <f>F37*(1-G37)</f>
        <v/>
      </c>
      <c r="I37" s="85">
        <f>E37*H37</f>
        <v/>
      </c>
      <c r="J37" s="96" t="n">
        <v>1</v>
      </c>
      <c r="K37" s="96" t="n">
        <v>22</v>
      </c>
      <c r="L37" s="52" t="n">
        <v>0</v>
      </c>
      <c r="M37" s="85">
        <f>K37*H37+L37</f>
        <v/>
      </c>
    </row>
    <row r="38" ht="18" customHeight="1">
      <c r="A38" s="98" t="n">
        <v>45712</v>
      </c>
      <c r="B38" s="99" t="inlineStr">
        <is>
          <t>SKU-010</t>
        </is>
      </c>
      <c r="C38" s="100" t="inlineStr">
        <is>
          <t>Micellar Cleansing Water 250ml</t>
        </is>
      </c>
      <c r="D38" s="99" t="inlineStr">
        <is>
          <t>Amazon</t>
        </is>
      </c>
      <c r="E38" s="96" t="n">
        <v>54</v>
      </c>
      <c r="F38" s="52" t="n">
        <v>18.99</v>
      </c>
      <c r="G38" s="97" t="n">
        <v>0.1</v>
      </c>
      <c r="H38" s="85">
        <f>F38*(1-G38)</f>
        <v/>
      </c>
      <c r="I38" s="85">
        <f>E38*H38</f>
        <v/>
      </c>
      <c r="J38" s="96" t="n">
        <v>3</v>
      </c>
      <c r="K38" s="96" t="n">
        <v>51</v>
      </c>
      <c r="L38" s="52" t="n">
        <v>0</v>
      </c>
      <c r="M38" s="85">
        <f>K38*H38+L38</f>
        <v/>
      </c>
    </row>
    <row r="39" ht="18" customHeight="1">
      <c r="A39" s="93" t="n">
        <v>45714</v>
      </c>
      <c r="B39" s="94" t="inlineStr">
        <is>
          <t>SKU-009</t>
        </is>
      </c>
      <c r="C39" s="95" t="inlineStr">
        <is>
          <t>Ceramide Barrier Repair Cream 50ml</t>
        </is>
      </c>
      <c r="D39" s="94" t="inlineStr">
        <is>
          <t>Amazon</t>
        </is>
      </c>
      <c r="E39" s="96" t="n">
        <v>11</v>
      </c>
      <c r="F39" s="52" t="n">
        <v>29.99</v>
      </c>
      <c r="G39" s="97" t="n">
        <v>0.2</v>
      </c>
      <c r="H39" s="85">
        <f>F39*(1-G39)</f>
        <v/>
      </c>
      <c r="I39" s="85">
        <f>E39*H39</f>
        <v/>
      </c>
      <c r="J39" s="96" t="n">
        <v>1</v>
      </c>
      <c r="K39" s="96" t="n">
        <v>10</v>
      </c>
      <c r="L39" s="52" t="n">
        <v>0</v>
      </c>
      <c r="M39" s="85">
        <f>K39*H39+L39</f>
        <v/>
      </c>
    </row>
    <row r="40" ht="18" customHeight="1">
      <c r="A40" s="98" t="n">
        <v>45716</v>
      </c>
      <c r="B40" s="99" t="inlineStr">
        <is>
          <t>SKU-011</t>
        </is>
      </c>
      <c r="C40" s="100" t="inlineStr">
        <is>
          <t>Peptide Firming Serum 30ml</t>
        </is>
      </c>
      <c r="D40" s="99" t="inlineStr">
        <is>
          <t>DTC</t>
        </is>
      </c>
      <c r="E40" s="96" t="n">
        <v>25</v>
      </c>
      <c r="F40" s="52" t="n">
        <v>44.99</v>
      </c>
      <c r="G40" s="97" t="n">
        <v>0.05</v>
      </c>
      <c r="H40" s="85">
        <f>F40*(1-G40)</f>
        <v/>
      </c>
      <c r="I40" s="85">
        <f>E40*H40</f>
        <v/>
      </c>
      <c r="J40" s="96" t="n">
        <v>1</v>
      </c>
      <c r="K40" s="96" t="n">
        <v>24</v>
      </c>
      <c r="L40" s="52" t="n">
        <v>3.99</v>
      </c>
      <c r="M40" s="85">
        <f>K40*H40+L40</f>
        <v/>
      </c>
    </row>
    <row r="41" ht="18" customHeight="1">
      <c r="A41" s="93" t="n">
        <v>45716</v>
      </c>
      <c r="B41" s="94" t="inlineStr">
        <is>
          <t>SKU-005</t>
        </is>
      </c>
      <c r="C41" s="95" t="inlineStr">
        <is>
          <t>AHA/BHA Exfoliating Toner 200ml</t>
        </is>
      </c>
      <c r="D41" s="94" t="inlineStr">
        <is>
          <t>DTC</t>
        </is>
      </c>
      <c r="E41" s="96" t="n">
        <v>94</v>
      </c>
      <c r="F41" s="52" t="n">
        <v>26.99</v>
      </c>
      <c r="G41" s="97" t="n">
        <v>0.2</v>
      </c>
      <c r="H41" s="85">
        <f>F41*(1-G41)</f>
        <v/>
      </c>
      <c r="I41" s="85">
        <f>E41*H41</f>
        <v/>
      </c>
      <c r="J41" s="96" t="n">
        <v>3</v>
      </c>
      <c r="K41" s="96" t="n">
        <v>91</v>
      </c>
      <c r="L41" s="52" t="n">
        <v>5.99</v>
      </c>
      <c r="M41" s="85">
        <f>K41*H41+L41</f>
        <v/>
      </c>
    </row>
    <row r="42" ht="18" customHeight="1">
      <c r="A42" s="98" t="n">
        <v>45720</v>
      </c>
      <c r="B42" s="99" t="inlineStr">
        <is>
          <t>SKU-001</t>
        </is>
      </c>
      <c r="C42" s="100" t="inlineStr">
        <is>
          <t>Vitamin C Brightening Serum 30ml</t>
        </is>
      </c>
      <c r="D42" s="99" t="inlineStr">
        <is>
          <t>Amazon</t>
        </is>
      </c>
      <c r="E42" s="96" t="n">
        <v>51</v>
      </c>
      <c r="F42" s="52" t="n">
        <v>34.99</v>
      </c>
      <c r="G42" s="97" t="n">
        <v>0.05</v>
      </c>
      <c r="H42" s="85">
        <f>F42*(1-G42)</f>
        <v/>
      </c>
      <c r="I42" s="85">
        <f>E42*H42</f>
        <v/>
      </c>
      <c r="J42" s="96" t="n">
        <v>3</v>
      </c>
      <c r="K42" s="96" t="n">
        <v>48</v>
      </c>
      <c r="L42" s="52" t="n">
        <v>0</v>
      </c>
      <c r="M42" s="85">
        <f>K42*H42+L42</f>
        <v/>
      </c>
    </row>
    <row r="43" ht="18" customHeight="1">
      <c r="A43" s="93" t="n">
        <v>45721</v>
      </c>
      <c r="B43" s="94" t="inlineStr">
        <is>
          <t>SKU-002</t>
        </is>
      </c>
      <c r="C43" s="95" t="inlineStr">
        <is>
          <t>Hyaluronic Acid Moisturiser 50ml</t>
        </is>
      </c>
      <c r="D43" s="94" t="inlineStr">
        <is>
          <t>Amazon</t>
        </is>
      </c>
      <c r="E43" s="96" t="n">
        <v>115</v>
      </c>
      <c r="F43" s="52" t="n">
        <v>28.99</v>
      </c>
      <c r="G43" s="97" t="n">
        <v>0</v>
      </c>
      <c r="H43" s="85">
        <f>F43*(1-G43)</f>
        <v/>
      </c>
      <c r="I43" s="85">
        <f>E43*H43</f>
        <v/>
      </c>
      <c r="J43" s="96" t="n">
        <v>7</v>
      </c>
      <c r="K43" s="96" t="n">
        <v>108</v>
      </c>
      <c r="L43" s="52" t="n">
        <v>0</v>
      </c>
      <c r="M43" s="85">
        <f>K43*H43+L43</f>
        <v/>
      </c>
    </row>
    <row r="44" ht="18" customHeight="1">
      <c r="A44" s="98" t="n">
        <v>45722</v>
      </c>
      <c r="B44" s="99" t="inlineStr">
        <is>
          <t>SKU-010</t>
        </is>
      </c>
      <c r="C44" s="100" t="inlineStr">
        <is>
          <t>Micellar Cleansing Water 250ml</t>
        </is>
      </c>
      <c r="D44" s="99" t="inlineStr">
        <is>
          <t>Amazon</t>
        </is>
      </c>
      <c r="E44" s="96" t="n">
        <v>76</v>
      </c>
      <c r="F44" s="52" t="n">
        <v>18.99</v>
      </c>
      <c r="G44" s="97" t="n">
        <v>0</v>
      </c>
      <c r="H44" s="85">
        <f>F44*(1-G44)</f>
        <v/>
      </c>
      <c r="I44" s="85">
        <f>E44*H44</f>
        <v/>
      </c>
      <c r="J44" s="96" t="n">
        <v>5</v>
      </c>
      <c r="K44" s="96" t="n">
        <v>71</v>
      </c>
      <c r="L44" s="52" t="n">
        <v>0</v>
      </c>
      <c r="M44" s="85">
        <f>K44*H44+L44</f>
        <v/>
      </c>
    </row>
    <row r="45" ht="18" customHeight="1">
      <c r="A45" s="93" t="n">
        <v>45725</v>
      </c>
      <c r="B45" s="94" t="inlineStr">
        <is>
          <t>SKU-010</t>
        </is>
      </c>
      <c r="C45" s="95" t="inlineStr">
        <is>
          <t>Micellar Cleansing Water 250ml</t>
        </is>
      </c>
      <c r="D45" s="94" t="inlineStr">
        <is>
          <t>DTC</t>
        </is>
      </c>
      <c r="E45" s="96" t="n">
        <v>32</v>
      </c>
      <c r="F45" s="52" t="n">
        <v>18.99</v>
      </c>
      <c r="G45" s="97" t="n">
        <v>0.15</v>
      </c>
      <c r="H45" s="85">
        <f>F45*(1-G45)</f>
        <v/>
      </c>
      <c r="I45" s="85">
        <f>E45*H45</f>
        <v/>
      </c>
      <c r="J45" s="96" t="n">
        <v>1</v>
      </c>
      <c r="K45" s="96" t="n">
        <v>31</v>
      </c>
      <c r="L45" s="52" t="n">
        <v>0</v>
      </c>
      <c r="M45" s="85">
        <f>K45*H45+L45</f>
        <v/>
      </c>
    </row>
    <row r="46" ht="18" customHeight="1">
      <c r="A46" s="98" t="n">
        <v>45726</v>
      </c>
      <c r="B46" s="99" t="inlineStr">
        <is>
          <t>SKU-002</t>
        </is>
      </c>
      <c r="C46" s="100" t="inlineStr">
        <is>
          <t>Hyaluronic Acid Moisturiser 50ml</t>
        </is>
      </c>
      <c r="D46" s="99" t="inlineStr">
        <is>
          <t>DTC</t>
        </is>
      </c>
      <c r="E46" s="96" t="n">
        <v>15</v>
      </c>
      <c r="F46" s="52" t="n">
        <v>28.99</v>
      </c>
      <c r="G46" s="97" t="n">
        <v>0.15</v>
      </c>
      <c r="H46" s="85">
        <f>F46*(1-G46)</f>
        <v/>
      </c>
      <c r="I46" s="85">
        <f>E46*H46</f>
        <v/>
      </c>
      <c r="J46" s="96" t="n">
        <v>0</v>
      </c>
      <c r="K46" s="96" t="n">
        <v>15</v>
      </c>
      <c r="L46" s="52" t="n">
        <v>3.99</v>
      </c>
      <c r="M46" s="85">
        <f>K46*H46+L46</f>
        <v/>
      </c>
    </row>
    <row r="47" ht="18" customHeight="1">
      <c r="A47" s="93" t="n">
        <v>45726</v>
      </c>
      <c r="B47" s="94" t="inlineStr">
        <is>
          <t>SKU-008</t>
        </is>
      </c>
      <c r="C47" s="95" t="inlineStr">
        <is>
          <t>Rose Hip Facial Oil 30ml</t>
        </is>
      </c>
      <c r="D47" s="94" t="inlineStr">
        <is>
          <t>Amazon</t>
        </is>
      </c>
      <c r="E47" s="96" t="n">
        <v>59</v>
      </c>
      <c r="F47" s="52" t="n">
        <v>35.99</v>
      </c>
      <c r="G47" s="97" t="n">
        <v>0</v>
      </c>
      <c r="H47" s="85">
        <f>F47*(1-G47)</f>
        <v/>
      </c>
      <c r="I47" s="85">
        <f>E47*H47</f>
        <v/>
      </c>
      <c r="J47" s="96" t="n">
        <v>4</v>
      </c>
      <c r="K47" s="96" t="n">
        <v>55</v>
      </c>
      <c r="L47" s="52" t="n">
        <v>0</v>
      </c>
      <c r="M47" s="85">
        <f>K47*H47+L47</f>
        <v/>
      </c>
    </row>
    <row r="48" ht="18" customHeight="1">
      <c r="A48" s="98" t="n">
        <v>45727</v>
      </c>
      <c r="B48" s="99" t="inlineStr">
        <is>
          <t>SKU-001</t>
        </is>
      </c>
      <c r="C48" s="100" t="inlineStr">
        <is>
          <t>Vitamin C Brightening Serum 30ml</t>
        </is>
      </c>
      <c r="D48" s="99" t="inlineStr">
        <is>
          <t>Amazon</t>
        </is>
      </c>
      <c r="E48" s="96" t="n">
        <v>101</v>
      </c>
      <c r="F48" s="52" t="n">
        <v>34.99</v>
      </c>
      <c r="G48" s="97" t="n">
        <v>0</v>
      </c>
      <c r="H48" s="85">
        <f>F48*(1-G48)</f>
        <v/>
      </c>
      <c r="I48" s="85">
        <f>E48*H48</f>
        <v/>
      </c>
      <c r="J48" s="96" t="n">
        <v>6</v>
      </c>
      <c r="K48" s="96" t="n">
        <v>95</v>
      </c>
      <c r="L48" s="52" t="n">
        <v>0</v>
      </c>
      <c r="M48" s="85">
        <f>K48*H48+L48</f>
        <v/>
      </c>
    </row>
    <row r="49" ht="18" customHeight="1">
      <c r="A49" s="93" t="n">
        <v>45730</v>
      </c>
      <c r="B49" s="94" t="inlineStr">
        <is>
          <t>SKU-012</t>
        </is>
      </c>
      <c r="C49" s="95" t="inlineStr">
        <is>
          <t>Gentle Foaming Cleanser 150ml</t>
        </is>
      </c>
      <c r="D49" s="94" t="inlineStr">
        <is>
          <t>DTC</t>
        </is>
      </c>
      <c r="E49" s="96" t="n">
        <v>32</v>
      </c>
      <c r="F49" s="52" t="n">
        <v>19.99</v>
      </c>
      <c r="G49" s="97" t="n">
        <v>0.2</v>
      </c>
      <c r="H49" s="85">
        <f>F49*(1-G49)</f>
        <v/>
      </c>
      <c r="I49" s="85">
        <f>E49*H49</f>
        <v/>
      </c>
      <c r="J49" s="96" t="n">
        <v>1</v>
      </c>
      <c r="K49" s="96" t="n">
        <v>31</v>
      </c>
      <c r="L49" s="52" t="n">
        <v>4.99</v>
      </c>
      <c r="M49" s="85">
        <f>K49*H49+L49</f>
        <v/>
      </c>
    </row>
    <row r="50" ht="18" customHeight="1">
      <c r="A50" s="98" t="n">
        <v>45731</v>
      </c>
      <c r="B50" s="99" t="inlineStr">
        <is>
          <t>SKU-010</t>
        </is>
      </c>
      <c r="C50" s="100" t="inlineStr">
        <is>
          <t>Micellar Cleansing Water 250ml</t>
        </is>
      </c>
      <c r="D50" s="99" t="inlineStr">
        <is>
          <t>DTC</t>
        </is>
      </c>
      <c r="E50" s="96" t="n">
        <v>36</v>
      </c>
      <c r="F50" s="52" t="n">
        <v>18.99</v>
      </c>
      <c r="G50" s="97" t="n">
        <v>0.1</v>
      </c>
      <c r="H50" s="85">
        <f>F50*(1-G50)</f>
        <v/>
      </c>
      <c r="I50" s="85">
        <f>E50*H50</f>
        <v/>
      </c>
      <c r="J50" s="96" t="n">
        <v>1</v>
      </c>
      <c r="K50" s="96" t="n">
        <v>35</v>
      </c>
      <c r="L50" s="52" t="n">
        <v>4.99</v>
      </c>
      <c r="M50" s="85">
        <f>K50*H50+L50</f>
        <v/>
      </c>
    </row>
    <row r="51" ht="18" customHeight="1">
      <c r="A51" s="93" t="n">
        <v>45732</v>
      </c>
      <c r="B51" s="94" t="inlineStr">
        <is>
          <t>SKU-007</t>
        </is>
      </c>
      <c r="C51" s="95" t="inlineStr">
        <is>
          <t>Collagen Boosting Eye Cream 15ml</t>
        </is>
      </c>
      <c r="D51" s="94" t="inlineStr">
        <is>
          <t>DTC</t>
        </is>
      </c>
      <c r="E51" s="96" t="n">
        <v>33</v>
      </c>
      <c r="F51" s="52" t="n">
        <v>38.99</v>
      </c>
      <c r="G51" s="97" t="n">
        <v>0</v>
      </c>
      <c r="H51" s="85">
        <f>F51*(1-G51)</f>
        <v/>
      </c>
      <c r="I51" s="85">
        <f>E51*H51</f>
        <v/>
      </c>
      <c r="J51" s="96" t="n">
        <v>1</v>
      </c>
      <c r="K51" s="96" t="n">
        <v>32</v>
      </c>
      <c r="L51" s="52" t="n">
        <v>5.99</v>
      </c>
      <c r="M51" s="85">
        <f>K51*H51+L51</f>
        <v/>
      </c>
    </row>
    <row r="52" ht="18" customHeight="1">
      <c r="A52" s="98" t="n">
        <v>45734</v>
      </c>
      <c r="B52" s="99" t="inlineStr">
        <is>
          <t>SKU-008</t>
        </is>
      </c>
      <c r="C52" s="100" t="inlineStr">
        <is>
          <t>Rose Hip Facial Oil 30ml</t>
        </is>
      </c>
      <c r="D52" s="99" t="inlineStr">
        <is>
          <t>DTC</t>
        </is>
      </c>
      <c r="E52" s="96" t="n">
        <v>75</v>
      </c>
      <c r="F52" s="52" t="n">
        <v>35.99</v>
      </c>
      <c r="G52" s="97" t="n">
        <v>0</v>
      </c>
      <c r="H52" s="85">
        <f>F52*(1-G52)</f>
        <v/>
      </c>
      <c r="I52" s="85">
        <f>E52*H52</f>
        <v/>
      </c>
      <c r="J52" s="96" t="n">
        <v>2</v>
      </c>
      <c r="K52" s="96" t="n">
        <v>73</v>
      </c>
      <c r="L52" s="52" t="n">
        <v>0</v>
      </c>
      <c r="M52" s="85">
        <f>K52*H52+L52</f>
        <v/>
      </c>
    </row>
    <row r="53" ht="18" customHeight="1">
      <c r="A53" s="93" t="n">
        <v>45735</v>
      </c>
      <c r="B53" s="94" t="inlineStr">
        <is>
          <t>SKU-005</t>
        </is>
      </c>
      <c r="C53" s="95" t="inlineStr">
        <is>
          <t>AHA/BHA Exfoliating Toner 200ml</t>
        </is>
      </c>
      <c r="D53" s="94" t="inlineStr">
        <is>
          <t>Amazon</t>
        </is>
      </c>
      <c r="E53" s="96" t="n">
        <v>98</v>
      </c>
      <c r="F53" s="52" t="n">
        <v>26.99</v>
      </c>
      <c r="G53" s="97" t="n">
        <v>0.1</v>
      </c>
      <c r="H53" s="85">
        <f>F53*(1-G53)</f>
        <v/>
      </c>
      <c r="I53" s="85">
        <f>E53*H53</f>
        <v/>
      </c>
      <c r="J53" s="96" t="n">
        <v>6</v>
      </c>
      <c r="K53" s="96" t="n">
        <v>92</v>
      </c>
      <c r="L53" s="52" t="n">
        <v>0</v>
      </c>
      <c r="M53" s="85">
        <f>K53*H53+L53</f>
        <v/>
      </c>
    </row>
    <row r="54" ht="18" customHeight="1">
      <c r="A54" s="98" t="n">
        <v>45735</v>
      </c>
      <c r="B54" s="99" t="inlineStr">
        <is>
          <t>SKU-011</t>
        </is>
      </c>
      <c r="C54" s="100" t="inlineStr">
        <is>
          <t>Peptide Firming Serum 30ml</t>
        </is>
      </c>
      <c r="D54" s="99" t="inlineStr">
        <is>
          <t>Amazon</t>
        </is>
      </c>
      <c r="E54" s="96" t="n">
        <v>73</v>
      </c>
      <c r="F54" s="52" t="n">
        <v>44.99</v>
      </c>
      <c r="G54" s="97" t="n">
        <v>0.2</v>
      </c>
      <c r="H54" s="85">
        <f>F54*(1-G54)</f>
        <v/>
      </c>
      <c r="I54" s="85">
        <f>E54*H54</f>
        <v/>
      </c>
      <c r="J54" s="96" t="n">
        <v>4</v>
      </c>
      <c r="K54" s="96" t="n">
        <v>69</v>
      </c>
      <c r="L54" s="52" t="n">
        <v>0</v>
      </c>
      <c r="M54" s="85">
        <f>K54*H54+L54</f>
        <v/>
      </c>
    </row>
    <row r="55" ht="18" customHeight="1">
      <c r="A55" s="93" t="n">
        <v>45738</v>
      </c>
      <c r="B55" s="94" t="inlineStr">
        <is>
          <t>SKU-010</t>
        </is>
      </c>
      <c r="C55" s="95" t="inlineStr">
        <is>
          <t>Micellar Cleansing Water 250ml</t>
        </is>
      </c>
      <c r="D55" s="94" t="inlineStr">
        <is>
          <t>DTC</t>
        </is>
      </c>
      <c r="E55" s="96" t="n">
        <v>78</v>
      </c>
      <c r="F55" s="52" t="n">
        <v>18.99</v>
      </c>
      <c r="G55" s="97" t="n">
        <v>0</v>
      </c>
      <c r="H55" s="85">
        <f>F55*(1-G55)</f>
        <v/>
      </c>
      <c r="I55" s="85">
        <f>E55*H55</f>
        <v/>
      </c>
      <c r="J55" s="96" t="n">
        <v>2</v>
      </c>
      <c r="K55" s="96" t="n">
        <v>76</v>
      </c>
      <c r="L55" s="52" t="n">
        <v>0</v>
      </c>
      <c r="M55" s="85">
        <f>K55*H55+L55</f>
        <v/>
      </c>
    </row>
    <row r="56" ht="18" customHeight="1">
      <c r="A56" s="98" t="n">
        <v>45738</v>
      </c>
      <c r="B56" s="99" t="inlineStr">
        <is>
          <t>SKU-005</t>
        </is>
      </c>
      <c r="C56" s="100" t="inlineStr">
        <is>
          <t>AHA/BHA Exfoliating Toner 200ml</t>
        </is>
      </c>
      <c r="D56" s="99" t="inlineStr">
        <is>
          <t>Amazon</t>
        </is>
      </c>
      <c r="E56" s="96" t="n">
        <v>24</v>
      </c>
      <c r="F56" s="52" t="n">
        <v>26.99</v>
      </c>
      <c r="G56" s="97" t="n">
        <v>0.05</v>
      </c>
      <c r="H56" s="85">
        <f>F56*(1-G56)</f>
        <v/>
      </c>
      <c r="I56" s="85">
        <f>E56*H56</f>
        <v/>
      </c>
      <c r="J56" s="96" t="n">
        <v>1</v>
      </c>
      <c r="K56" s="96" t="n">
        <v>23</v>
      </c>
      <c r="L56" s="52" t="n">
        <v>0</v>
      </c>
      <c r="M56" s="85">
        <f>K56*H56+L56</f>
        <v/>
      </c>
    </row>
    <row r="57" ht="18" customHeight="1">
      <c r="A57" s="93" t="n">
        <v>45739</v>
      </c>
      <c r="B57" s="94" t="inlineStr">
        <is>
          <t>SKU-002</t>
        </is>
      </c>
      <c r="C57" s="95" t="inlineStr">
        <is>
          <t>Hyaluronic Acid Moisturiser 50ml</t>
        </is>
      </c>
      <c r="D57" s="94" t="inlineStr">
        <is>
          <t>Amazon</t>
        </is>
      </c>
      <c r="E57" s="96" t="n">
        <v>99</v>
      </c>
      <c r="F57" s="52" t="n">
        <v>28.99</v>
      </c>
      <c r="G57" s="97" t="n">
        <v>0.05</v>
      </c>
      <c r="H57" s="85">
        <f>F57*(1-G57)</f>
        <v/>
      </c>
      <c r="I57" s="85">
        <f>E57*H57</f>
        <v/>
      </c>
      <c r="J57" s="96" t="n">
        <v>6</v>
      </c>
      <c r="K57" s="96" t="n">
        <v>93</v>
      </c>
      <c r="L57" s="52" t="n">
        <v>0</v>
      </c>
      <c r="M57" s="85">
        <f>K57*H57+L57</f>
        <v/>
      </c>
    </row>
    <row r="58" ht="18" customHeight="1">
      <c r="A58" s="98" t="n">
        <v>45741</v>
      </c>
      <c r="B58" s="99" t="inlineStr">
        <is>
          <t>SKU-012</t>
        </is>
      </c>
      <c r="C58" s="100" t="inlineStr">
        <is>
          <t>Gentle Foaming Cleanser 150ml</t>
        </is>
      </c>
      <c r="D58" s="99" t="inlineStr">
        <is>
          <t>DTC</t>
        </is>
      </c>
      <c r="E58" s="96" t="n">
        <v>33</v>
      </c>
      <c r="F58" s="52" t="n">
        <v>19.99</v>
      </c>
      <c r="G58" s="97" t="n">
        <v>0.1</v>
      </c>
      <c r="H58" s="85">
        <f>F58*(1-G58)</f>
        <v/>
      </c>
      <c r="I58" s="85">
        <f>E58*H58</f>
        <v/>
      </c>
      <c r="J58" s="96" t="n">
        <v>1</v>
      </c>
      <c r="K58" s="96" t="n">
        <v>32</v>
      </c>
      <c r="L58" s="52" t="n">
        <v>5.99</v>
      </c>
      <c r="M58" s="85">
        <f>K58*H58+L58</f>
        <v/>
      </c>
    </row>
    <row r="59" ht="18" customHeight="1">
      <c r="A59" s="93" t="n">
        <v>45742</v>
      </c>
      <c r="B59" s="94" t="inlineStr">
        <is>
          <t>SKU-012</t>
        </is>
      </c>
      <c r="C59" s="95" t="inlineStr">
        <is>
          <t>Gentle Foaming Cleanser 150ml</t>
        </is>
      </c>
      <c r="D59" s="94" t="inlineStr">
        <is>
          <t>DTC</t>
        </is>
      </c>
      <c r="E59" s="96" t="n">
        <v>24</v>
      </c>
      <c r="F59" s="52" t="n">
        <v>19.99</v>
      </c>
      <c r="G59" s="97" t="n">
        <v>0</v>
      </c>
      <c r="H59" s="85">
        <f>F59*(1-G59)</f>
        <v/>
      </c>
      <c r="I59" s="85">
        <f>E59*H59</f>
        <v/>
      </c>
      <c r="J59" s="96" t="n">
        <v>1</v>
      </c>
      <c r="K59" s="96" t="n">
        <v>23</v>
      </c>
      <c r="L59" s="52" t="n">
        <v>3.99</v>
      </c>
      <c r="M59" s="85">
        <f>K59*H59+L59</f>
        <v/>
      </c>
    </row>
    <row r="60" ht="18" customHeight="1">
      <c r="A60" s="98" t="n">
        <v>45744</v>
      </c>
      <c r="B60" s="99" t="inlineStr">
        <is>
          <t>SKU-012</t>
        </is>
      </c>
      <c r="C60" s="100" t="inlineStr">
        <is>
          <t>Gentle Foaming Cleanser 150ml</t>
        </is>
      </c>
      <c r="D60" s="99" t="inlineStr">
        <is>
          <t>Amazon</t>
        </is>
      </c>
      <c r="E60" s="96" t="n">
        <v>80</v>
      </c>
      <c r="F60" s="52" t="n">
        <v>19.99</v>
      </c>
      <c r="G60" s="97" t="n">
        <v>0.1</v>
      </c>
      <c r="H60" s="85">
        <f>F60*(1-G60)</f>
        <v/>
      </c>
      <c r="I60" s="85">
        <f>E60*H60</f>
        <v/>
      </c>
      <c r="J60" s="96" t="n">
        <v>5</v>
      </c>
      <c r="K60" s="96" t="n">
        <v>75</v>
      </c>
      <c r="L60" s="52" t="n">
        <v>0</v>
      </c>
      <c r="M60" s="85">
        <f>K60*H60+L60</f>
        <v/>
      </c>
    </row>
    <row r="61" ht="18" customHeight="1">
      <c r="A61" s="93" t="n">
        <v>45744</v>
      </c>
      <c r="B61" s="94" t="inlineStr">
        <is>
          <t>SKU-011</t>
        </is>
      </c>
      <c r="C61" s="95" t="inlineStr">
        <is>
          <t>Peptide Firming Serum 30ml</t>
        </is>
      </c>
      <c r="D61" s="94" t="inlineStr">
        <is>
          <t>Amazon</t>
        </is>
      </c>
      <c r="E61" s="96" t="n">
        <v>12</v>
      </c>
      <c r="F61" s="52" t="n">
        <v>44.99</v>
      </c>
      <c r="G61" s="97" t="n">
        <v>0.1</v>
      </c>
      <c r="H61" s="85">
        <f>F61*(1-G61)</f>
        <v/>
      </c>
      <c r="I61" s="85">
        <f>E61*H61</f>
        <v/>
      </c>
      <c r="J61" s="96" t="n">
        <v>1</v>
      </c>
      <c r="K61" s="96" t="n">
        <v>11</v>
      </c>
      <c r="L61" s="52" t="n">
        <v>0</v>
      </c>
      <c r="M61" s="85">
        <f>K61*H61+L61</f>
        <v/>
      </c>
    </row>
    <row r="62" ht="18" customHeight="1">
      <c r="A62" s="98" t="n">
        <v>45745</v>
      </c>
      <c r="B62" s="99" t="inlineStr">
        <is>
          <t>SKU-009</t>
        </is>
      </c>
      <c r="C62" s="100" t="inlineStr">
        <is>
          <t>Ceramide Barrier Repair Cream 50ml</t>
        </is>
      </c>
      <c r="D62" s="99" t="inlineStr">
        <is>
          <t>DTC</t>
        </is>
      </c>
      <c r="E62" s="96" t="n">
        <v>103</v>
      </c>
      <c r="F62" s="52" t="n">
        <v>29.99</v>
      </c>
      <c r="G62" s="97" t="n">
        <v>0.2</v>
      </c>
      <c r="H62" s="85">
        <f>F62*(1-G62)</f>
        <v/>
      </c>
      <c r="I62" s="85">
        <f>E62*H62</f>
        <v/>
      </c>
      <c r="J62" s="96" t="n">
        <v>3</v>
      </c>
      <c r="K62" s="96" t="n">
        <v>100</v>
      </c>
      <c r="L62" s="52" t="n">
        <v>3.99</v>
      </c>
      <c r="M62" s="85">
        <f>K62*H62+L62</f>
        <v/>
      </c>
    </row>
    <row r="63">
      <c r="A63" s="32" t="inlineStr">
        <is>
          <t>TOTALS</t>
        </is>
      </c>
      <c r="B63" s="108" t="n"/>
      <c r="C63" s="108" t="n"/>
      <c r="D63" s="107" t="n"/>
      <c r="E63" s="65">
        <f>SUM(E3:E62)</f>
        <v/>
      </c>
      <c r="I63" s="60">
        <f>SUM(I3:I62)</f>
        <v/>
      </c>
      <c r="J63" s="65">
        <f>SUM(J3:J62)</f>
        <v/>
      </c>
      <c r="K63" s="65">
        <f>SUM(K3:K62)</f>
        <v/>
      </c>
      <c r="L63" s="60">
        <f>SUM(L3:L62)</f>
        <v/>
      </c>
      <c r="M63" s="60">
        <f>SUM(M3:M62)</f>
        <v/>
      </c>
    </row>
  </sheetData>
  <mergeCells count="2">
    <mergeCell ref="A1:M1"/>
    <mergeCell ref="A63:D6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30" customWidth="1" min="1" max="1"/>
    <col width="72" customWidth="1" min="2" max="2"/>
  </cols>
  <sheetData>
    <row r="1" ht="32" customHeight="1">
      <c r="A1" s="1" t="inlineStr">
        <is>
          <t>09 | README — Revenue &amp; Margin Intelligence System (v2.0 Dual-Lens)</t>
        </is>
      </c>
    </row>
    <row r="2" ht="20" customHeight="1">
      <c r="A2" s="101" t="inlineStr">
        <is>
          <t xml:space="preserve">  HOW TO USE</t>
        </is>
      </c>
    </row>
    <row r="3" ht="28" customHeight="1">
      <c r="A3" s="102" t="inlineStr">
        <is>
          <t>Step 1</t>
        </is>
      </c>
      <c r="B3" s="103" t="inlineStr">
        <is>
          <t>00_Settings → select Currency and SKU Category. The workbook updates automatically.</t>
        </is>
      </c>
    </row>
    <row r="4" ht="28" customHeight="1">
      <c r="A4" s="102" t="inlineStr">
        <is>
          <t>Step 2</t>
        </is>
      </c>
      <c r="B4" s="103" t="inlineStr">
        <is>
          <t>06_Raw_SKU → replace blue cells with real SKU prices and product costs (EX-VAT).</t>
        </is>
      </c>
    </row>
    <row r="5" ht="28" customHeight="1">
      <c r="A5" s="102" t="inlineStr">
        <is>
          <t>Step 3</t>
        </is>
      </c>
      <c r="B5" s="103" t="inlineStr">
        <is>
          <t>07_Channel_Costs → adjust fees to match your Amazon setup and DTC/3PL economics.</t>
        </is>
      </c>
    </row>
    <row r="6" ht="28" customHeight="1">
      <c r="A6" s="102" t="inlineStr">
        <is>
          <t>Step 4</t>
        </is>
      </c>
      <c r="B6" s="103" t="inlineStr">
        <is>
          <t>Data comes from sales_orders.csv (single source of truth). Blue cells in 08_Sales_Orders are editable.</t>
        </is>
      </c>
    </row>
    <row r="7" ht="28" customHeight="1">
      <c r="A7" s="102" t="inlineStr">
        <is>
          <t>Build stage</t>
        </is>
      </c>
      <c r="B7" s="103" t="inlineStr">
        <is>
          <t>02_SKU_Channel_PnL → review Net Units, Net Revenue, CM/unit, CM%, and Total CM. 03_Kill_Optimize_Scale → prioritize actions.</t>
        </is>
      </c>
    </row>
    <row r="8" ht="8" customHeight="1"/>
    <row r="9" ht="20" customHeight="1">
      <c r="A9" s="104" t="inlineStr">
        <is>
          <t xml:space="preserve">  VAT POLICY (Standard across entire model)</t>
        </is>
      </c>
    </row>
    <row r="10" ht="28" customHeight="1">
      <c r="A10" s="102" t="inlineStr">
        <is>
          <t>Standard</t>
        </is>
      </c>
      <c r="B10" s="103" t="inlineStr">
        <is>
          <t>ALL prices, costs, and contribution margins are EX-VAT throughout this workbook.</t>
        </is>
      </c>
    </row>
    <row r="11" ht="28" customHeight="1">
      <c r="A11" s="102" t="inlineStr">
        <is>
          <t>VAT Rate</t>
        </is>
      </c>
      <c r="B11" s="103" t="inlineStr">
        <is>
          <t>Stored in 07_Channel_Costs as reference only. It does NOT affect any margin calculation.</t>
        </is>
      </c>
    </row>
    <row r="12" ht="28" customHeight="1">
      <c r="A12" s="102" t="inlineStr">
        <is>
          <t>Base Price</t>
        </is>
      </c>
      <c r="B12" s="103" t="inlineStr">
        <is>
          <t>If list prices are VAT-inclusive, divide by (1 + VAT) before entering Base Price.</t>
        </is>
      </c>
    </row>
    <row r="13" ht="28" customHeight="1">
      <c r="A13" s="102" t="inlineStr">
        <is>
          <t>Why ex-VAT?</t>
        </is>
      </c>
      <c r="B13" s="103" t="inlineStr">
        <is>
          <t>VAT is a pass-through tax. Treating VAT as revenue inflates revenue and distorts CM%.</t>
        </is>
      </c>
    </row>
    <row r="14" ht="8" customHeight="1"/>
    <row r="15" ht="20" customHeight="1">
      <c r="A15" s="105" t="inlineStr">
        <is>
          <t xml:space="preserve">  DUAL-LENS UNIT ACCOUNTING (v2.0)</t>
        </is>
      </c>
    </row>
    <row r="16" ht="28" customHeight="1">
      <c r="A16" s="102" t="inlineStr">
        <is>
          <t>period_net_units</t>
        </is>
      </c>
      <c r="B16" s="103" t="inlineStr">
        <is>
          <t>units_sold - return_units (truth lens; may be negative in return shock scenarios)</t>
        </is>
      </c>
    </row>
    <row r="17" ht="28" customHeight="1">
      <c r="A17" s="102" t="inlineStr">
        <is>
          <t>econ_units</t>
        </is>
      </c>
      <c r="B17" s="103" t="inlineStr">
        <is>
          <t>max(period_net_units, 0) = Net Units in Excel (decision lens; ALWAYS ≥ 0)</t>
        </is>
      </c>
    </row>
    <row r="18" ht="28" customHeight="1">
      <c r="A18" s="102" t="inlineStr">
        <is>
          <t>return_shock_units</t>
        </is>
      </c>
      <c r="B18" s="103" t="inlineStr">
        <is>
          <t>max(-period_net_units, 0) (diagnostic flag for visibility)</t>
        </is>
      </c>
    </row>
    <row r="19" ht="28" customHeight="1">
      <c r="A19" s="102" t="inlineStr">
        <is>
          <t>Net Units column</t>
        </is>
      </c>
      <c r="B19" s="103" t="inlineStr">
        <is>
          <t>From sales_orders.csv. This is econ_units. Used for ALL CM calculations and denominators.</t>
        </is>
      </c>
    </row>
    <row r="20" ht="28" customHeight="1">
      <c r="A20" s="102" t="inlineStr">
        <is>
          <t>Net Revenue</t>
        </is>
      </c>
      <c r="B20" s="103" t="inlineStr">
        <is>
          <t>Net Units × Net Price + Shipping Income (reflects true collected revenue)</t>
        </is>
      </c>
    </row>
    <row r="21" ht="28" customHeight="1">
      <c r="A21" s="102" t="inlineStr">
        <is>
          <t>Total CM</t>
        </is>
      </c>
      <c r="B21" s="103" t="inlineStr">
        <is>
          <t>Net Units × CM/unit (accurate post-return contribution)</t>
        </is>
      </c>
    </row>
    <row r="22" ht="28" customHeight="1">
      <c r="A22" s="102" t="inlineStr">
        <is>
          <t>Why dual-lens?</t>
        </is>
      </c>
      <c r="B22" s="103" t="inlineStr">
        <is>
          <t>Prevents division errors when returns &gt; sales (return shock). Decision engine always uses non-negative units.</t>
        </is>
      </c>
    </row>
    <row r="23" ht="8" customHeight="1"/>
    <row r="24" ht="20" customHeight="1">
      <c r="A24" s="106" t="inlineStr">
        <is>
          <t xml:space="preserve">  FULFILMENT vs SHIPPING (Logistics clarity)</t>
        </is>
      </c>
    </row>
    <row r="25" ht="28" customHeight="1">
      <c r="A25" s="102" t="inlineStr">
        <is>
          <t>Principle</t>
        </is>
      </c>
      <c r="B25" s="103" t="inlineStr">
        <is>
          <t>Fulfil Fee = pick/pack handling. Shipping Fee = carrier last-mile. This avoids duplication.</t>
        </is>
      </c>
    </row>
    <row r="26" ht="28" customHeight="1">
      <c r="A26" s="102" t="inlineStr">
        <is>
          <t>Amazon</t>
        </is>
      </c>
      <c r="B26" s="103" t="inlineStr">
        <is>
          <t>FBA often bundles ship within fulfilment; Shipping Fee may be 0 as a separate line.</t>
        </is>
      </c>
    </row>
    <row r="27" ht="28" customHeight="1">
      <c r="A27" s="102" t="inlineStr">
        <is>
          <t>DTC</t>
        </is>
      </c>
      <c r="B27" s="103" t="inlineStr">
        <is>
          <t>3PL handling and carrier shipping are typically separate line items.</t>
        </is>
      </c>
    </row>
    <row r="28" ht="8" customHeight="1"/>
    <row r="29" ht="20" customHeight="1">
      <c r="A29" s="101" t="inlineStr">
        <is>
          <t xml:space="preserve">  DATA SOURCE (Single source of truth)</t>
        </is>
      </c>
    </row>
    <row r="30" ht="28" customHeight="1">
      <c r="A30" s="102" t="inlineStr">
        <is>
          <t>Primary data</t>
        </is>
      </c>
      <c r="B30" s="103" t="inlineStr">
        <is>
          <t>data/raw/sales_orders.csv</t>
        </is>
      </c>
    </row>
    <row r="31" ht="28" customHeight="1">
      <c r="A31" s="102" t="inlineStr">
        <is>
          <t>Columns used</t>
        </is>
      </c>
      <c r="B31" s="103" t="inlineStr">
        <is>
          <t>order_date, sku_id, sku_name, channel, units_sold, list_price, discount_pct, return_units, net_units (econ_units), shipping_income</t>
        </is>
      </c>
    </row>
    <row r="32" ht="28" customHeight="1">
      <c r="A32" s="102" t="inlineStr">
        <is>
          <t>Net Units</t>
        </is>
      </c>
      <c r="B32" s="103" t="inlineStr">
        <is>
          <t>Pre-calculated in CSV as max(units_sold - return_units, 0). Always ≥ 0.</t>
        </is>
      </c>
    </row>
    <row r="33" ht="28" customHeight="1">
      <c r="A33" s="102" t="inlineStr">
        <is>
          <t>Workflow</t>
        </is>
      </c>
      <c r="B33" s="103" t="inlineStr">
        <is>
          <t>Python generates CSV → Excel reads CSV → All downstream analysis uses econ_units from CSV</t>
        </is>
      </c>
    </row>
    <row r="34" ht="8" customHeight="1"/>
    <row r="35" ht="20" customHeight="1">
      <c r="A35" s="101" t="inlineStr">
        <is>
          <t xml:space="preserve">  COLOUR CODING STANDARD</t>
        </is>
      </c>
    </row>
    <row r="36" ht="28" customHeight="1">
      <c r="A36" s="102" t="inlineStr">
        <is>
          <t>🔵 Blue text + yellow bg</t>
        </is>
      </c>
      <c r="B36" s="103" t="inlineStr">
        <is>
          <t>Hardcoded input — edit these to match your business.</t>
        </is>
      </c>
    </row>
    <row r="37" ht="28" customHeight="1">
      <c r="A37" s="102" t="inlineStr">
        <is>
          <t>⚫ Black text + blue bg</t>
        </is>
      </c>
      <c r="B37" s="103" t="inlineStr">
        <is>
          <t>Formula — auto-calculated. Do not overwrite.</t>
        </is>
      </c>
    </row>
    <row r="38" ht="28" customHeight="1">
      <c r="A38" s="102" t="inlineStr">
        <is>
          <t>🟢 Green text</t>
        </is>
      </c>
      <c r="B38" s="103" t="inlineStr">
        <is>
          <t>Cross-sheet link — pulls from 00_Settings automatically.</t>
        </is>
      </c>
    </row>
    <row r="39" ht="8" customHeight="1"/>
    <row r="40" ht="20" customHeight="1">
      <c r="A40" s="101" t="inlineStr">
        <is>
          <t xml:space="preserve">  SHEET DIRECTORY</t>
        </is>
      </c>
    </row>
    <row r="41" ht="28" customHeight="1">
      <c r="A41" s="102" t="inlineStr">
        <is>
          <t>00_Settings</t>
        </is>
      </c>
      <c r="B41" s="103" t="inlineStr">
        <is>
          <t>Currency + category selector. VAT &amp; dual-lens policy.</t>
        </is>
      </c>
    </row>
    <row r="42" ht="28" customHeight="1">
      <c r="A42" s="102" t="inlineStr">
        <is>
          <t>01_Summary</t>
        </is>
      </c>
      <c r="B42" s="103" t="inlineStr">
        <is>
          <t>Executive KPIs from sales_orders.csv.</t>
        </is>
      </c>
    </row>
    <row r="43" ht="28" customHeight="1">
      <c r="A43" s="102" t="inlineStr">
        <is>
          <t>02_SKU_Channel_PnL</t>
        </is>
      </c>
      <c r="B43" s="103" t="inlineStr">
        <is>
          <t>Full CM engine with Net Units (econ_units) from CSV.</t>
        </is>
      </c>
    </row>
    <row r="44" ht="28" customHeight="1">
      <c r="A44" s="102" t="inlineStr">
        <is>
          <t>03_Kill_Optimize_Scale</t>
        </is>
      </c>
      <c r="B44" s="103" t="inlineStr">
        <is>
          <t>Decision matrix: 🚀 SCALE | ⚙ OPTIMIZE | 🔴 KILL.</t>
        </is>
      </c>
    </row>
    <row r="45" ht="28" customHeight="1">
      <c r="A45" s="102" t="inlineStr">
        <is>
          <t>04_Scenarios</t>
        </is>
      </c>
      <c r="B45" s="103" t="inlineStr">
        <is>
          <t>Planned extension.</t>
        </is>
      </c>
    </row>
    <row r="46" ht="28" customHeight="1">
      <c r="A46" s="102" t="inlineStr">
        <is>
          <t>05_Working_Capital</t>
        </is>
      </c>
      <c r="B46" s="103" t="inlineStr">
        <is>
          <t>Planned extension.</t>
        </is>
      </c>
    </row>
    <row r="47" ht="28" customHeight="1">
      <c r="A47" s="102" t="inlineStr">
        <is>
          <t>06_Raw_SKU</t>
        </is>
      </c>
      <c r="B47" s="103" t="inlineStr">
        <is>
          <t>SKUs with pricing and costs (EX-VAT).</t>
        </is>
      </c>
    </row>
    <row r="48" ht="28" customHeight="1">
      <c r="A48" s="102" t="inlineStr">
        <is>
          <t>07_Channel_Costs</t>
        </is>
      </c>
      <c r="B48" s="103" t="inlineStr">
        <is>
          <t>Channel fee structure.</t>
        </is>
      </c>
    </row>
    <row r="49" ht="28" customHeight="1">
      <c r="A49" s="102" t="inlineStr">
        <is>
          <t>08_Sales_Orders</t>
        </is>
      </c>
      <c r="B49" s="103" t="inlineStr">
        <is>
          <t>From sales_orders.csv with Net Units (econ_units).</t>
        </is>
      </c>
    </row>
    <row r="50" ht="28" customHeight="1">
      <c r="A50" s="102" t="inlineStr">
        <is>
          <t>09_README</t>
        </is>
      </c>
      <c r="B50" s="103" t="inlineStr">
        <is>
          <t>← You are here. Documentation, policies, dual-lens logic.</t>
        </is>
      </c>
    </row>
  </sheetData>
  <mergeCells count="8">
    <mergeCell ref="A24:B24"/>
    <mergeCell ref="A2:B2"/>
    <mergeCell ref="A29:B29"/>
    <mergeCell ref="A15:B15"/>
    <mergeCell ref="A1:B1"/>
    <mergeCell ref="A40:B40"/>
    <mergeCell ref="A9:B9"/>
    <mergeCell ref="A35:B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53"/>
  <sheetViews>
    <sheetView workbookViewId="0">
      <selection activeCell="A1" sqref="A1"/>
    </sheetView>
  </sheetViews>
  <sheetFormatPr baseColWidth="8" defaultRowHeight="15"/>
  <cols>
    <col width="22" customWidth="1" min="1" max="1"/>
    <col width="115" customWidth="1" min="2" max="2"/>
  </cols>
  <sheetData>
    <row r="1" ht="32" customHeight="1">
      <c r="A1" s="1" t="inlineStr">
        <is>
          <t>10 | SQL PRODUCTION LAYER (v4.2 Dual-Lens)</t>
        </is>
      </c>
    </row>
    <row r="2" ht="20" customHeight="1">
      <c r="A2" s="118" t="inlineStr">
        <is>
          <t>5 PostgreSQL scripts · VAT: EX-VAT · Dual-Lens: period_net_units/econ_units · Shipping income included · Schema: margin_intelligence · NTILE buckets: 4</t>
        </is>
      </c>
    </row>
    <row r="3" ht="24" customHeight="1">
      <c r="A3" s="119" t="inlineStr">
        <is>
          <t xml:space="preserve">  Q1 — DDL: Schema &amp; Table Definitions (v4.2 Dual-Lens)</t>
        </is>
      </c>
    </row>
    <row r="4" ht="32" customHeight="1">
      <c r="A4" s="120" t="inlineStr">
        <is>
          <t>Purpose</t>
        </is>
      </c>
      <c r="B4" s="121" t="inlineStr">
        <is>
          <t>Creates schema and core tables. Idempotent (DROP CASCADE + recreate). order_date stored as DATE — ETL: TO_DATE(raw,'DD/MM/YYYY'). DUAL-LENS: return_units tracked; shipping_income captured; econ_units computed.</t>
        </is>
      </c>
    </row>
    <row r="5" ht="16" customHeight="1">
      <c r="A5" s="120" t="inlineStr">
        <is>
          <t>Tags</t>
        </is>
      </c>
      <c r="B5" s="122" t="inlineStr">
        <is>
          <t>DDL | Setup | PostgreSQL | Idempotent | Dual-Lens</t>
        </is>
      </c>
    </row>
    <row r="6" ht="16" customHeight="1">
      <c r="A6" s="123" t="inlineStr">
        <is>
          <t>SQL</t>
        </is>
      </c>
    </row>
    <row r="7" ht="14" customHeight="1">
      <c r="A7" s="124" t="inlineStr">
        <is>
          <t>-- ============================================================</t>
        </is>
      </c>
    </row>
    <row r="8" ht="14" customHeight="1">
      <c r="A8" s="124" t="inlineStr">
        <is>
          <t>-- Q1: DDL — Schema &amp; Table Definitions (v4.2 Dual-Lens)</t>
        </is>
      </c>
    </row>
    <row r="9" ht="14" customHeight="1">
      <c r="A9" s="124" t="inlineStr">
        <is>
          <t>-- Platform  : PostgreSQL</t>
        </is>
      </c>
    </row>
    <row r="10" ht="14" customHeight="1">
      <c r="A10" s="124" t="inlineStr">
        <is>
          <t>-- VAT       : ALL prices/CM are EX-VAT</t>
        </is>
      </c>
    </row>
    <row r="11" ht="14" customHeight="1">
      <c r="A11" s="124" t="inlineStr">
        <is>
          <t>-- Dual-Lens : period_net_units (truth) vs econ_units (decision)</t>
        </is>
      </c>
    </row>
    <row r="12" ht="14" customHeight="1">
      <c r="A12" s="124" t="inlineStr">
        <is>
          <t>-- Idempotent: DROP CASCADE + recreate</t>
        </is>
      </c>
    </row>
    <row r="13" ht="14" customHeight="1">
      <c r="A13" s="124" t="inlineStr">
        <is>
          <t>-- ============================================================</t>
        </is>
      </c>
    </row>
    <row r="14" ht="14" customHeight="1">
      <c r="A14" s="125" t="inlineStr"/>
    </row>
    <row r="15" ht="14" customHeight="1">
      <c r="A15" s="126" t="inlineStr">
        <is>
          <t>CREATE SCHEMA IF NOT EXISTS margin_intelligence;</t>
        </is>
      </c>
    </row>
    <row r="16" ht="14" customHeight="1">
      <c r="A16" s="125" t="inlineStr"/>
    </row>
    <row r="17" ht="14" customHeight="1">
      <c r="A17" s="124" t="inlineStr">
        <is>
          <t>-- ── SKU Master ─────────────────────────────────────────────</t>
        </is>
      </c>
    </row>
    <row r="18" ht="14" customHeight="1">
      <c r="A18" s="126" t="inlineStr">
        <is>
          <t>DROP TABLE IF EXISTS margin_intelligence.sku_master CASCADE;</t>
        </is>
      </c>
    </row>
    <row r="19" ht="14" customHeight="1">
      <c r="A19" s="126" t="inlineStr">
        <is>
          <t>CREATE TABLE margin_intelligence.sku_master (</t>
        </is>
      </c>
    </row>
    <row r="20" ht="14" customHeight="1">
      <c r="A20" s="125" t="inlineStr">
        <is>
          <t xml:space="preserve">    sku_id          VARCHAR(20)     PRIMARY KEY,</t>
        </is>
      </c>
    </row>
    <row r="21" ht="14" customHeight="1">
      <c r="A21" s="125" t="inlineStr">
        <is>
          <t xml:space="preserve">    sku_name        VARCHAR(200)    NOT NULL,</t>
        </is>
      </c>
    </row>
    <row r="22" ht="14" customHeight="1">
      <c r="A22" s="125" t="inlineStr">
        <is>
          <t xml:space="preserve">    category        VARCHAR(100),</t>
        </is>
      </c>
    </row>
    <row r="23" ht="14" customHeight="1">
      <c r="A23" s="125" t="inlineStr">
        <is>
          <t xml:space="preserve">    subcategory     VARCHAR(100),</t>
        </is>
      </c>
    </row>
    <row r="24" ht="14" customHeight="1">
      <c r="A24" s="125" t="inlineStr">
        <is>
          <t xml:space="preserve">    base_price      NUMERIC(10,2)   NOT NULL,   -- EX-VAT</t>
        </is>
      </c>
    </row>
    <row r="25" ht="14" customHeight="1">
      <c r="A25" s="125" t="inlineStr">
        <is>
          <t xml:space="preserve">    cogs            NUMERIC(10,2)   NOT NULL,</t>
        </is>
      </c>
    </row>
    <row r="26" ht="14" customHeight="1">
      <c r="A26" s="125" t="inlineStr">
        <is>
          <t xml:space="preserve">    packaging_cost  NUMERIC(10,2)   DEFAULT 0,</t>
        </is>
      </c>
    </row>
    <row r="27" ht="14" customHeight="1">
      <c r="A27" s="125" t="inlineStr">
        <is>
          <t xml:space="preserve">    inbound_freight NUMERIC(10,2)   DEFAULT 0,</t>
        </is>
      </c>
    </row>
    <row r="28" ht="14" customHeight="1">
      <c r="A28" s="125" t="inlineStr">
        <is>
          <t xml:space="preserve">    created_at      TIMESTAMP       DEFAULT CURRENT_TIMESTAMP</t>
        </is>
      </c>
    </row>
    <row r="29" ht="14" customHeight="1">
      <c r="A29" s="125" t="inlineStr">
        <is>
          <t>);</t>
        </is>
      </c>
    </row>
    <row r="30" ht="14" customHeight="1">
      <c r="A30" s="125" t="inlineStr"/>
    </row>
    <row r="31" ht="14" customHeight="1">
      <c r="A31" s="124" t="inlineStr">
        <is>
          <t>-- ── Channel Costs ──────────────────────────────────────────</t>
        </is>
      </c>
    </row>
    <row r="32" ht="14" customHeight="1">
      <c r="A32" s="126" t="inlineStr">
        <is>
          <t>DROP TABLE IF EXISTS margin_intelligence.channel_costs CASCADE;</t>
        </is>
      </c>
    </row>
    <row r="33" ht="14" customHeight="1">
      <c r="A33" s="126" t="inlineStr">
        <is>
          <t>CREATE TABLE margin_intelligence.channel_costs (</t>
        </is>
      </c>
    </row>
    <row r="34" ht="14" customHeight="1">
      <c r="A34" s="125" t="inlineStr">
        <is>
          <t xml:space="preserve">    channel                      VARCHAR(50)     PRIMARY KEY,</t>
        </is>
      </c>
    </row>
    <row r="35" ht="14" customHeight="1">
      <c r="A35" s="125" t="inlineStr">
        <is>
          <t xml:space="preserve">    referral_fee_pct             NUMERIC(5,4)    NOT NULL,</t>
        </is>
      </c>
    </row>
    <row r="36" ht="14" customHeight="1">
      <c r="A36" s="125" t="inlineStr">
        <is>
          <t xml:space="preserve">    fulfilment_fee_per_unit      NUMERIC(10,2)   NOT NULL,  -- 3PL/FBA (pick+pack)</t>
        </is>
      </c>
    </row>
    <row r="37" ht="14" customHeight="1">
      <c r="A37" s="125" t="inlineStr">
        <is>
          <t xml:space="preserve">    shipping_fee_per_unit        NUMERIC(10,2)   DEFAULT 0, -- carrier (DTC split)</t>
        </is>
      </c>
    </row>
    <row r="38" ht="14" customHeight="1">
      <c r="A38" s="125" t="inlineStr">
        <is>
          <t xml:space="preserve">    ads_pct                      NUMERIC(5,4)    NOT NULL,</t>
        </is>
      </c>
    </row>
    <row r="39" ht="14" customHeight="1">
      <c r="A39" s="125" t="inlineStr">
        <is>
          <t xml:space="preserve">    returns_pct                  NUMERIC(5,4)    DEFAULT 0, -- REFERENCE/SCENARIO ONLY</t>
        </is>
      </c>
    </row>
    <row r="40" ht="14" customHeight="1">
      <c r="A40" s="125" t="inlineStr">
        <is>
          <t xml:space="preserve">    return_processing_fee        NUMERIC(10,2)   DEFAULT 0, -- per returned unit (actual)</t>
        </is>
      </c>
    </row>
    <row r="41" ht="14" customHeight="1">
      <c r="A41" s="125" t="inlineStr">
        <is>
          <t xml:space="preserve">    payment_gateway_pct          NUMERIC(5,4)    DEFAULT 0,</t>
        </is>
      </c>
    </row>
    <row r="42" ht="14" customHeight="1">
      <c r="A42" s="125" t="inlineStr">
        <is>
          <t xml:space="preserve">    payout_days                  INT             NOT NULL,</t>
        </is>
      </c>
    </row>
    <row r="43" ht="14" customHeight="1">
      <c r="A43" s="125" t="inlineStr">
        <is>
          <t xml:space="preserve">    vat_rate                     NUMERIC(5,4)    DEFAULT 0.20  -- reference only, NOT in CM</t>
        </is>
      </c>
    </row>
    <row r="44" ht="14" customHeight="1">
      <c r="A44" s="125" t="inlineStr">
        <is>
          <t>);</t>
        </is>
      </c>
    </row>
    <row r="45" ht="14" customHeight="1">
      <c r="A45" s="125" t="inlineStr"/>
    </row>
    <row r="46" ht="14" customHeight="1">
      <c r="A46" s="124" t="inlineStr">
        <is>
          <t>-- ── Sales Orders ───────────────────────────────────────────</t>
        </is>
      </c>
    </row>
    <row r="47" ht="14" customHeight="1">
      <c r="A47" s="124" t="inlineStr">
        <is>
          <t>-- ETL note: if source CSV has 'DD/MM/YYYY' → TO_DATE(raw_col, 'DD/MM/YYYY')</t>
        </is>
      </c>
    </row>
    <row r="48" ht="14" customHeight="1">
      <c r="A48" s="124" t="inlineStr">
        <is>
          <t>-- DUAL-LENS: return_units + shipping_income captured at order level</t>
        </is>
      </c>
    </row>
    <row r="49" ht="14" customHeight="1">
      <c r="A49" s="126" t="inlineStr">
        <is>
          <t>DROP TABLE IF EXISTS margin_intelligence.sales_orders CASCADE;</t>
        </is>
      </c>
    </row>
    <row r="50" ht="14" customHeight="1">
      <c r="A50" s="126" t="inlineStr">
        <is>
          <t>CREATE TABLE margin_intelligence.sales_orders (</t>
        </is>
      </c>
    </row>
    <row r="51" ht="14" customHeight="1">
      <c r="A51" s="125" t="inlineStr">
        <is>
          <t xml:space="preserve">    order_id         SERIAL          PRIMARY KEY,</t>
        </is>
      </c>
    </row>
    <row r="52" ht="14" customHeight="1">
      <c r="A52" s="125" t="inlineStr">
        <is>
          <t xml:space="preserve">    order_date       DATE            NOT NULL,</t>
        </is>
      </c>
    </row>
    <row r="53" ht="14" customHeight="1">
      <c r="A53" s="125" t="inlineStr">
        <is>
          <t xml:space="preserve">    sku_id           VARCHAR(20)     REFERENCES margin_intelligence.sku_master(sku_id),</t>
        </is>
      </c>
    </row>
    <row r="54" ht="14" customHeight="1">
      <c r="A54" s="125" t="inlineStr">
        <is>
          <t xml:space="preserve">    channel          VARCHAR(50)     REFERENCES margin_intelligence.channel_costs(channel),</t>
        </is>
      </c>
    </row>
    <row r="55" ht="14" customHeight="1">
      <c r="A55" s="125" t="inlineStr">
        <is>
          <t xml:space="preserve">    units_sold       INT             NOT NULL,</t>
        </is>
      </c>
    </row>
    <row r="56" ht="14" customHeight="1">
      <c r="A56" s="125" t="inlineStr">
        <is>
          <t xml:space="preserve">    list_price       NUMERIC(10,2)   NOT NULL,   -- EX-VAT</t>
        </is>
      </c>
    </row>
    <row r="57" ht="14" customHeight="1">
      <c r="A57" s="125" t="inlineStr">
        <is>
          <t xml:space="preserve">    discount_pct     NUMERIC(5,4)    DEFAULT 0,</t>
        </is>
      </c>
    </row>
    <row r="58" ht="14" customHeight="1">
      <c r="A58" s="125" t="inlineStr">
        <is>
          <t xml:space="preserve">    net_price_ex_vat NUMERIC(10,4)   GENERATED ALWAYS AS</t>
        </is>
      </c>
    </row>
    <row r="59" ht="14" customHeight="1">
      <c r="A59" s="125" t="inlineStr">
        <is>
          <t xml:space="preserve">                     (list_price * (1 - discount_pct)) STORED,</t>
        </is>
      </c>
    </row>
    <row r="60" ht="14" customHeight="1">
      <c r="A60" s="125" t="inlineStr">
        <is>
          <t xml:space="preserve">    return_units     INT             DEFAULT 0,</t>
        </is>
      </c>
    </row>
    <row r="61" ht="14" customHeight="1">
      <c r="A61" s="125" t="inlineStr">
        <is>
          <t xml:space="preserve">    shipping_income  NUMERIC(10,2)   DEFAULT 0,  -- customer-paid shipping (DTC)</t>
        </is>
      </c>
    </row>
    <row r="62" ht="14" customHeight="1">
      <c r="A62" s="125" t="inlineStr">
        <is>
          <t xml:space="preserve">    created_at       TIMESTAMP       DEFAULT CURRENT_TIMESTAMP</t>
        </is>
      </c>
    </row>
    <row r="63" ht="14" customHeight="1">
      <c r="A63" s="125" t="inlineStr">
        <is>
          <t>);</t>
        </is>
      </c>
    </row>
    <row r="64" ht="14" customHeight="1">
      <c r="A64" s="125" t="inlineStr"/>
    </row>
    <row r="65" ht="14" customHeight="1">
      <c r="A65" s="124" t="inlineStr">
        <is>
          <t>-- ── CM Results ─────────────────────────────────────────────</t>
        </is>
      </c>
    </row>
    <row r="66" ht="14" customHeight="1">
      <c r="A66" s="126" t="inlineStr">
        <is>
          <t>DROP TABLE IF EXISTS margin_intelligence.cm_results CASCADE;</t>
        </is>
      </c>
    </row>
    <row r="67" ht="14" customHeight="1">
      <c r="A67" s="126" t="inlineStr">
        <is>
          <t>CREATE TABLE margin_intelligence.cm_results (</t>
        </is>
      </c>
    </row>
    <row r="68" ht="14" customHeight="1">
      <c r="A68" s="125" t="inlineStr">
        <is>
          <t xml:space="preserve">    result_id            SERIAL          PRIMARY KEY,</t>
        </is>
      </c>
    </row>
    <row r="69" ht="14" customHeight="1">
      <c r="A69" s="125" t="inlineStr">
        <is>
          <t xml:space="preserve">    sku_id               VARCHAR(20)     REFERENCES margin_intelligence.sku_master(sku_id),</t>
        </is>
      </c>
    </row>
    <row r="70" ht="14" customHeight="1">
      <c r="A70" s="125" t="inlineStr">
        <is>
          <t xml:space="preserve">    channel              VARCHAR(50)     REFERENCES margin_intelligence.channel_costs(channel),</t>
        </is>
      </c>
    </row>
    <row r="71" ht="14" customHeight="1">
      <c r="A71" s="125" t="inlineStr">
        <is>
          <t xml:space="preserve">    calc_date            DATE            NOT NULL,</t>
        </is>
      </c>
    </row>
    <row r="72" ht="14" customHeight="1">
      <c r="A72" s="125" t="inlineStr">
        <is>
          <t xml:space="preserve">    units_sold           INT,</t>
        </is>
      </c>
    </row>
    <row r="73" ht="14" customHeight="1">
      <c r="A73" s="125" t="inlineStr">
        <is>
          <t xml:space="preserve">    return_units         INT             DEFAULT 0,</t>
        </is>
      </c>
    </row>
    <row r="74" ht="14" customHeight="1">
      <c r="A74" s="125" t="inlineStr">
        <is>
          <t xml:space="preserve">    period_net_units     INT,            -- may be negative (return shock)</t>
        </is>
      </c>
    </row>
    <row r="75" ht="14" customHeight="1">
      <c r="A75" s="125" t="inlineStr">
        <is>
          <t xml:space="preserve">    econ_units           INT,            -- GREATEST(period_net_units, 0)</t>
        </is>
      </c>
    </row>
    <row r="76" ht="14" customHeight="1">
      <c r="A76" s="125" t="inlineStr">
        <is>
          <t xml:space="preserve">    return_shock_units   INT             DEFAULT 0,</t>
        </is>
      </c>
    </row>
    <row r="77" ht="14" customHeight="1">
      <c r="A77" s="125" t="inlineStr">
        <is>
          <t xml:space="preserve">    net_price            NUMERIC(10,4),</t>
        </is>
      </c>
    </row>
    <row r="78" ht="14" customHeight="1">
      <c r="A78" s="125" t="inlineStr">
        <is>
          <t xml:space="preserve">    total_variable_cost  NUMERIC(10,4),</t>
        </is>
      </c>
    </row>
    <row r="79" ht="14" customHeight="1">
      <c r="A79" s="125" t="inlineStr">
        <is>
          <t xml:space="preserve">    cm_per_unit          NUMERIC(10,4),  -- total_cm / econ_units</t>
        </is>
      </c>
    </row>
    <row r="80" ht="14" customHeight="1">
      <c r="A80" s="125" t="inlineStr">
        <is>
          <t xml:space="preserve">    cm_pct               NUMERIC(7,6),</t>
        </is>
      </c>
    </row>
    <row r="81" ht="14" customHeight="1">
      <c r="A81" s="125" t="inlineStr">
        <is>
          <t xml:space="preserve">    total_cm             NUMERIC(12,2),</t>
        </is>
      </c>
    </row>
    <row r="82" ht="14" customHeight="1">
      <c r="A82" s="125" t="inlineStr">
        <is>
          <t xml:space="preserve">    discount_pct         NUMERIC(5,4)    DEFAULT 0,</t>
        </is>
      </c>
    </row>
    <row r="83" ht="14" customHeight="1">
      <c r="A83" s="125" t="inlineStr">
        <is>
          <t xml:space="preserve">    ads_actual_pct       NUMERIC(5,4)    DEFAULT 0</t>
        </is>
      </c>
    </row>
    <row r="84" ht="14" customHeight="1">
      <c r="A84" s="125" t="inlineStr">
        <is>
          <t>);</t>
        </is>
      </c>
    </row>
    <row r="85" ht="14" customHeight="1">
      <c r="A85" s="125" t="inlineStr"/>
    </row>
    <row r="86" ht="14" customHeight="1">
      <c r="A86" s="126" t="inlineStr">
        <is>
          <t>CREATE INDEX idx_orders_sku_channel  ON margin_intelligence.sales_orders(sku_id, channel);</t>
        </is>
      </c>
    </row>
    <row r="87" ht="14" customHeight="1">
      <c r="A87" s="126" t="inlineStr">
        <is>
          <t>CREATE INDEX idx_orders_date         ON margin_intelligence.sales_orders(order_date);</t>
        </is>
      </c>
    </row>
    <row r="88" ht="14" customHeight="1">
      <c r="A88" s="126" t="inlineStr">
        <is>
          <t>CREATE INDEX idx_cm_sku_channel_date ON margin_intelligence.cm_results(sku_id, channel, calc_date);</t>
        </is>
      </c>
    </row>
    <row r="89" ht="14" customHeight="1">
      <c r="A89" s="125" t="inlineStr"/>
    </row>
    <row r="90" ht="14" customHeight="1">
      <c r="A90" s="126" t="inlineStr">
        <is>
          <t xml:space="preserve">COMMENT ON COLUMN margin_intelligence.sales_orders.return_units IS </t>
        </is>
      </c>
    </row>
    <row r="91" ht="14" customHeight="1">
      <c r="A91" s="125" t="inlineStr">
        <is>
          <t xml:space="preserve">    'Actual return units per order (truth lens)';</t>
        </is>
      </c>
    </row>
    <row r="92" ht="14" customHeight="1">
      <c r="A92" s="126" t="inlineStr">
        <is>
          <t xml:space="preserve">COMMENT ON COLUMN margin_intelligence.sales_orders.shipping_income IS </t>
        </is>
      </c>
    </row>
    <row r="93" ht="14" customHeight="1">
      <c r="A93" s="125" t="inlineStr">
        <is>
          <t xml:space="preserve">    'Customer-paid shipping charges (DTC channel) - order-level';</t>
        </is>
      </c>
    </row>
    <row r="94" ht="14" customHeight="1">
      <c r="A94" s="126" t="inlineStr">
        <is>
          <t xml:space="preserve">COMMENT ON COLUMN margin_intelligence.cm_results.period_net_units IS </t>
        </is>
      </c>
    </row>
    <row r="95" ht="14" customHeight="1">
      <c r="A95" s="125" t="inlineStr">
        <is>
          <t xml:space="preserve">    'units_sold - return_units (may be negative in return shock scenarios)';</t>
        </is>
      </c>
    </row>
    <row r="96" ht="14" customHeight="1">
      <c r="A96" s="126" t="inlineStr">
        <is>
          <t xml:space="preserve">COMMENT ON COLUMN margin_intelligence.cm_results.econ_units IS </t>
        </is>
      </c>
    </row>
    <row r="97" ht="14" customHeight="1">
      <c r="A97" s="125" t="inlineStr">
        <is>
          <t xml:space="preserve">    'GREATEST(period_net_units, 0) - decision-safe, never negative';</t>
        </is>
      </c>
    </row>
    <row r="98" ht="14" customHeight="1">
      <c r="A98" s="126" t="inlineStr">
        <is>
          <t xml:space="preserve">COMMENT ON COLUMN margin_intelligence.cm_results.return_shock_units IS </t>
        </is>
      </c>
    </row>
    <row r="99" ht="14" customHeight="1">
      <c r="A99" s="125" t="inlineStr">
        <is>
          <t xml:space="preserve">    'GREATEST(-period_net_units, 0) - diagnostic flag for visibility';</t>
        </is>
      </c>
    </row>
    <row r="100" ht="14" customHeight="1">
      <c r="A100" s="125" t="inlineStr"/>
    </row>
    <row r="101" ht="10" customHeight="1"/>
    <row r="102" ht="24" customHeight="1">
      <c r="A102" s="119" t="inlineStr">
        <is>
          <t xml:space="preserve">  Q2 — NTILE(4) SKU Ranking by CM (v4.2 Dual-Lens)</t>
        </is>
      </c>
    </row>
    <row r="103" ht="32" customHeight="1">
      <c r="A103" s="120" t="inlineStr">
        <is>
          <t>Purpose</t>
        </is>
      </c>
      <c r="B103" s="121" t="inlineStr">
        <is>
          <t>Ranks SKU × channel into 4 buckets using dual-lens unit accounting. Channel fees applied to econ_units (non-negative). Shipping income included.</t>
        </is>
      </c>
    </row>
    <row r="104" ht="16" customHeight="1">
      <c r="A104" s="120" t="inlineStr">
        <is>
          <t>Tags</t>
        </is>
      </c>
      <c r="B104" s="122" t="inlineStr">
        <is>
          <t>Analytics | Ranking | Window Function | VIP | Dual-Lens</t>
        </is>
      </c>
    </row>
    <row r="105" ht="16" customHeight="1">
      <c r="A105" s="123" t="inlineStr">
        <is>
          <t>SQL</t>
        </is>
      </c>
    </row>
    <row r="106" ht="14" customHeight="1">
      <c r="A106" s="124" t="inlineStr">
        <is>
          <t>-- ============================================================</t>
        </is>
      </c>
    </row>
    <row r="107" ht="14" customHeight="1">
      <c r="A107" s="124" t="inlineStr">
        <is>
          <t>-- Q2: NTILE(4) SKU Ranking — VIP Bucket Classification (v4.2)</t>
        </is>
      </c>
    </row>
    <row r="108" ht="14" customHeight="1">
      <c r="A108" s="124" t="inlineStr">
        <is>
          <t>-- DUAL-LENS POLICY:</t>
        </is>
      </c>
    </row>
    <row r="109" ht="14" customHeight="1">
      <c r="A109" s="124" t="inlineStr">
        <is>
          <t>--   period_net_units = units_sold - return_units (may be negative)</t>
        </is>
      </c>
    </row>
    <row r="110" ht="14" customHeight="1">
      <c r="A110" s="124" t="inlineStr">
        <is>
          <t>--   econ_units       = GREATEST(period_net_units, 0) (decision-safe)</t>
        </is>
      </c>
    </row>
    <row r="111" ht="14" customHeight="1">
      <c r="A111" s="124" t="inlineStr">
        <is>
          <t>--   net_revenue      = econ_units × net_price_ex_vat + shipping_income</t>
        </is>
      </c>
    </row>
    <row r="112" ht="14" customHeight="1">
      <c r="A112" s="124" t="inlineStr">
        <is>
          <t>--   Channel fees     = applied to econ_units only</t>
        </is>
      </c>
    </row>
    <row r="113" ht="14" customHeight="1">
      <c r="A113" s="124" t="inlineStr">
        <is>
          <t>-- ============================================================</t>
        </is>
      </c>
    </row>
    <row r="114" ht="14" customHeight="1">
      <c r="A114" s="125" t="inlineStr"/>
    </row>
    <row r="115" ht="14" customHeight="1">
      <c r="A115" s="126" t="inlineStr">
        <is>
          <t>WITH cm_agg AS (</t>
        </is>
      </c>
    </row>
    <row r="116" ht="14" customHeight="1">
      <c r="A116" s="126" t="inlineStr">
        <is>
          <t xml:space="preserve">    SELECT</t>
        </is>
      </c>
    </row>
    <row r="117" ht="14" customHeight="1">
      <c r="A117" s="125" t="inlineStr">
        <is>
          <t xml:space="preserve">        o.sku_id,</t>
        </is>
      </c>
    </row>
    <row r="118" ht="14" customHeight="1">
      <c r="A118" s="125" t="inlineStr">
        <is>
          <t xml:space="preserve">        s.sku_name,</t>
        </is>
      </c>
    </row>
    <row r="119" ht="14" customHeight="1">
      <c r="A119" s="125" t="inlineStr">
        <is>
          <t xml:space="preserve">        s.subcategory,</t>
        </is>
      </c>
    </row>
    <row r="120" ht="14" customHeight="1">
      <c r="A120" s="125" t="inlineStr">
        <is>
          <t xml:space="preserve">        o.channel,</t>
        </is>
      </c>
    </row>
    <row r="121" ht="14" customHeight="1">
      <c r="A121" s="124" t="inlineStr">
        <is>
          <t xml:space="preserve">        -- ── Volume (dual-lens) ───────────────────────────</t>
        </is>
      </c>
    </row>
    <row r="122" ht="14" customHeight="1">
      <c r="A122" s="125" t="inlineStr">
        <is>
          <t xml:space="preserve">        SUM(o.units_sold)                                       AS units_sold,</t>
        </is>
      </c>
    </row>
    <row r="123" ht="14" customHeight="1">
      <c r="A123" s="125" t="inlineStr">
        <is>
          <t xml:space="preserve">        SUM(o.return_units)                                     AS return_units,</t>
        </is>
      </c>
    </row>
    <row r="124" ht="14" customHeight="1">
      <c r="A124" s="125" t="inlineStr">
        <is>
          <t xml:space="preserve">        SUM(o.units_sold - o.return_units)                      AS period_net_units,</t>
        </is>
      </c>
    </row>
    <row r="125" ht="14" customHeight="1">
      <c r="A125" s="125" t="inlineStr">
        <is>
          <t xml:space="preserve">        SUM(GREATEST(o.units_sold - o.return_units, 0))         AS econ_units,</t>
        </is>
      </c>
    </row>
    <row r="126" ht="14" customHeight="1">
      <c r="A126" s="125" t="inlineStr">
        <is>
          <t xml:space="preserve">        SUM(GREATEST(-(o.units_sold - o.return_units), 0))      AS return_shock_units,</t>
        </is>
      </c>
    </row>
    <row r="127" ht="14" customHeight="1">
      <c r="A127" s="124" t="inlineStr">
        <is>
          <t xml:space="preserve">        -- ── Revenue (EX-VAT, with shipping income) ───────</t>
        </is>
      </c>
    </row>
    <row r="128" ht="14" customHeight="1">
      <c r="A128" s="125" t="inlineStr">
        <is>
          <t xml:space="preserve">        SUM(</t>
        </is>
      </c>
    </row>
    <row r="129" ht="14" customHeight="1">
      <c r="A129" s="125" t="inlineStr">
        <is>
          <t xml:space="preserve">            GREATEST(o.units_sold - o.return_units, 0) * o.net_price_ex_vat</t>
        </is>
      </c>
    </row>
    <row r="130" ht="14" customHeight="1">
      <c r="A130" s="125" t="inlineStr">
        <is>
          <t xml:space="preserve">            + COALESCE(o.shipping_income, 0)</t>
        </is>
      </c>
    </row>
    <row r="131" ht="14" customHeight="1">
      <c r="A131" s="125" t="inlineStr">
        <is>
          <t xml:space="preserve">        )                                                       AS net_revenue,</t>
        </is>
      </c>
    </row>
    <row r="132" ht="14" customHeight="1">
      <c r="A132" s="124" t="inlineStr">
        <is>
          <t xml:space="preserve">        -- ── Variable Cost (SUM-based, dual-lens) ─────────</t>
        </is>
      </c>
    </row>
    <row r="133" ht="14" customHeight="1">
      <c r="A133" s="125" t="inlineStr">
        <is>
          <t xml:space="preserve">        SUM(</t>
        </is>
      </c>
    </row>
    <row r="134" ht="14" customHeight="1">
      <c r="A134" s="124" t="inlineStr">
        <is>
          <t xml:space="preserve">            -- Product costs: all units produced/shipped</t>
        </is>
      </c>
    </row>
    <row r="135" ht="14" customHeight="1">
      <c r="A135" s="125" t="inlineStr">
        <is>
          <t xml:space="preserve">            o.units_sold * (s.cogs + s.packaging_cost + s.inbound_freight)</t>
        </is>
      </c>
    </row>
    <row r="136" ht="14" customHeight="1">
      <c r="A136" s="124" t="inlineStr">
        <is>
          <t xml:space="preserve">            -- Channel fees on econ_units (non-negative sold units)</t>
        </is>
      </c>
    </row>
    <row r="137" ht="14" customHeight="1">
      <c r="A137" s="125" t="inlineStr">
        <is>
          <t xml:space="preserve">            + GREATEST(o.units_sold - o.return_units, 0) * (</t>
        </is>
      </c>
    </row>
    <row r="138" ht="14" customHeight="1">
      <c r="A138" s="125" t="inlineStr">
        <is>
          <t xml:space="preserve">                c.referral_fee_pct         * o.net_price_ex_vat</t>
        </is>
      </c>
    </row>
    <row r="139" ht="14" customHeight="1">
      <c r="A139" s="125" t="inlineStr">
        <is>
          <t xml:space="preserve">                + c.fulfilment_fee_per_unit</t>
        </is>
      </c>
    </row>
    <row r="140" ht="14" customHeight="1">
      <c r="A140" s="125" t="inlineStr">
        <is>
          <t xml:space="preserve">                + c.shipping_fee_per_unit</t>
        </is>
      </c>
    </row>
    <row r="141" ht="14" customHeight="1">
      <c r="A141" s="125" t="inlineStr">
        <is>
          <t xml:space="preserve">                + c.ads_pct                * o.net_price_ex_vat</t>
        </is>
      </c>
    </row>
    <row r="142" ht="14" customHeight="1">
      <c r="A142" s="125" t="inlineStr">
        <is>
          <t xml:space="preserve">                + c.payment_gateway_pct    * o.net_price_ex_vat</t>
        </is>
      </c>
    </row>
    <row r="143" ht="14" customHeight="1">
      <c r="A143" s="125" t="inlineStr">
        <is>
          <t xml:space="preserve">            )</t>
        </is>
      </c>
    </row>
    <row r="144" ht="14" customHeight="1">
      <c r="A144" s="124" t="inlineStr">
        <is>
          <t xml:space="preserve">            -- Returns handling: only processing fee per returned unit</t>
        </is>
      </c>
    </row>
    <row r="145" ht="14" customHeight="1">
      <c r="A145" s="125" t="inlineStr">
        <is>
          <t xml:space="preserve">            + o.return_units * c.return_processing_fee</t>
        </is>
      </c>
    </row>
    <row r="146" ht="14" customHeight="1">
      <c r="A146" s="125" t="inlineStr">
        <is>
          <t xml:space="preserve">        )                                                       AS total_variable_cost</t>
        </is>
      </c>
    </row>
    <row r="147" ht="14" customHeight="1">
      <c r="A147" s="126" t="inlineStr">
        <is>
          <t xml:space="preserve">    FROM  margin_intelligence.sales_orders   o</t>
        </is>
      </c>
    </row>
    <row r="148" ht="14" customHeight="1">
      <c r="A148" s="126" t="inlineStr">
        <is>
          <t xml:space="preserve">    JOIN  margin_intelligence.sku_master     s  ON s.sku_id  = o.sku_id</t>
        </is>
      </c>
    </row>
    <row r="149" ht="14" customHeight="1">
      <c r="A149" s="126" t="inlineStr">
        <is>
          <t xml:space="preserve">    JOIN  margin_intelligence.channel_costs  c  ON c.channel = o.channel</t>
        </is>
      </c>
    </row>
    <row r="150" ht="14" customHeight="1">
      <c r="A150" s="126" t="inlineStr">
        <is>
          <t xml:space="preserve">    GROUP BY o.sku_id, s.sku_name, s.subcategory, o.channel</t>
        </is>
      </c>
    </row>
    <row r="151" ht="14" customHeight="1">
      <c r="A151" s="125" t="inlineStr">
        <is>
          <t>),</t>
        </is>
      </c>
    </row>
    <row r="152" ht="14" customHeight="1">
      <c r="A152" s="125" t="inlineStr"/>
    </row>
    <row r="153" ht="14" customHeight="1">
      <c r="A153" s="125" t="inlineStr">
        <is>
          <t>cm_calc AS (</t>
        </is>
      </c>
    </row>
    <row r="154" ht="14" customHeight="1">
      <c r="A154" s="126" t="inlineStr">
        <is>
          <t xml:space="preserve">    SELECT</t>
        </is>
      </c>
    </row>
    <row r="155" ht="14" customHeight="1">
      <c r="A155" s="125" t="inlineStr">
        <is>
          <t xml:space="preserve">        *,</t>
        </is>
      </c>
    </row>
    <row r="156" ht="14" customHeight="1">
      <c r="A156" s="125" t="inlineStr">
        <is>
          <t xml:space="preserve">        net_revenue - total_variable_cost                       AS total_cm,</t>
        </is>
      </c>
    </row>
    <row r="157" ht="14" customHeight="1">
      <c r="A157" s="126" t="inlineStr">
        <is>
          <t xml:space="preserve">        CASE WHEN net_revenue &gt; 0</t>
        </is>
      </c>
    </row>
    <row r="158" ht="14" customHeight="1">
      <c r="A158" s="126" t="inlineStr">
        <is>
          <t xml:space="preserve">            THEN ROUND((net_revenue - total_variable_cost) / net_revenue, 4)</t>
        </is>
      </c>
    </row>
    <row r="159" ht="14" customHeight="1">
      <c r="A159" s="126" t="inlineStr">
        <is>
          <t xml:space="preserve">        END                                                     AS cm_pct,</t>
        </is>
      </c>
    </row>
    <row r="160" ht="14" customHeight="1">
      <c r="A160" s="126" t="inlineStr">
        <is>
          <t xml:space="preserve">        CASE WHEN econ_units &gt; 0</t>
        </is>
      </c>
    </row>
    <row r="161" ht="14" customHeight="1">
      <c r="A161" s="126" t="inlineStr">
        <is>
          <t xml:space="preserve">            THEN ROUND((net_revenue - total_variable_cost) / econ_units, 4)</t>
        </is>
      </c>
    </row>
    <row r="162" ht="14" customHeight="1">
      <c r="A162" s="126" t="inlineStr">
        <is>
          <t xml:space="preserve">        END                                                     AS cm_per_unit</t>
        </is>
      </c>
    </row>
    <row r="163" ht="14" customHeight="1">
      <c r="A163" s="126" t="inlineStr">
        <is>
          <t xml:space="preserve">    FROM cm_agg</t>
        </is>
      </c>
    </row>
    <row r="164" ht="14" customHeight="1">
      <c r="A164" s="125" t="inlineStr">
        <is>
          <t>),</t>
        </is>
      </c>
    </row>
    <row r="165" ht="14" customHeight="1">
      <c r="A165" s="125" t="inlineStr"/>
    </row>
    <row r="166" ht="14" customHeight="1">
      <c r="A166" s="125" t="inlineStr">
        <is>
          <t>ranked AS (</t>
        </is>
      </c>
    </row>
    <row r="167" ht="14" customHeight="1">
      <c r="A167" s="126" t="inlineStr">
        <is>
          <t xml:space="preserve">    SELECT</t>
        </is>
      </c>
    </row>
    <row r="168" ht="14" customHeight="1">
      <c r="A168" s="125" t="inlineStr">
        <is>
          <t xml:space="preserve">        *,</t>
        </is>
      </c>
    </row>
    <row r="169" ht="14" customHeight="1">
      <c r="A169" s="125" t="inlineStr">
        <is>
          <t xml:space="preserve">        NTILE(4) OVER (</t>
        </is>
      </c>
    </row>
    <row r="170" ht="14" customHeight="1">
      <c r="A170" s="126" t="inlineStr">
        <is>
          <t xml:space="preserve">            ORDER BY total_cm DESC, cm_pct DESC</t>
        </is>
      </c>
    </row>
    <row r="171" ht="14" customHeight="1">
      <c r="A171" s="125" t="inlineStr">
        <is>
          <t xml:space="preserve">        )                                                       AS vip_bucket,</t>
        </is>
      </c>
    </row>
    <row r="172" ht="14" customHeight="1">
      <c r="A172" s="125" t="inlineStr">
        <is>
          <t xml:space="preserve">        NTILE(4) OVER (</t>
        </is>
      </c>
    </row>
    <row r="173" ht="14" customHeight="1">
      <c r="A173" s="126" t="inlineStr">
        <is>
          <t xml:space="preserve">            PARTITION BY channel</t>
        </is>
      </c>
    </row>
    <row r="174" ht="14" customHeight="1">
      <c r="A174" s="126" t="inlineStr">
        <is>
          <t xml:space="preserve">            ORDER BY total_cm DESC, cm_pct DESC</t>
        </is>
      </c>
    </row>
    <row r="175" ht="14" customHeight="1">
      <c r="A175" s="125" t="inlineStr">
        <is>
          <t xml:space="preserve">        )                                                       AS channel_bucket,</t>
        </is>
      </c>
    </row>
    <row r="176" ht="14" customHeight="1">
      <c r="A176" s="125" t="inlineStr">
        <is>
          <t xml:space="preserve">        RANK() OVER (ORDER BY total_cm DESC)                    AS global_rank,</t>
        </is>
      </c>
    </row>
    <row r="177" ht="14" customHeight="1">
      <c r="A177" s="125" t="inlineStr">
        <is>
          <t xml:space="preserve">        RANK() OVER (</t>
        </is>
      </c>
    </row>
    <row r="178" ht="14" customHeight="1">
      <c r="A178" s="126" t="inlineStr">
        <is>
          <t xml:space="preserve">            PARTITION BY channel</t>
        </is>
      </c>
    </row>
    <row r="179" ht="14" customHeight="1">
      <c r="A179" s="126" t="inlineStr">
        <is>
          <t xml:space="preserve">            ORDER BY total_cm DESC, cm_pct DESC</t>
        </is>
      </c>
    </row>
    <row r="180" ht="14" customHeight="1">
      <c r="A180" s="125" t="inlineStr">
        <is>
          <t xml:space="preserve">        )                                                       AS channel_rank</t>
        </is>
      </c>
    </row>
    <row r="181" ht="14" customHeight="1">
      <c r="A181" s="126" t="inlineStr">
        <is>
          <t xml:space="preserve">    FROM cm_calc</t>
        </is>
      </c>
    </row>
    <row r="182" ht="14" customHeight="1">
      <c r="A182" s="125" t="inlineStr">
        <is>
          <t>)</t>
        </is>
      </c>
    </row>
    <row r="183" ht="14" customHeight="1">
      <c r="A183" s="125" t="inlineStr"/>
    </row>
    <row r="184" ht="14" customHeight="1">
      <c r="A184" s="126" t="inlineStr">
        <is>
          <t>SELECT</t>
        </is>
      </c>
    </row>
    <row r="185" ht="14" customHeight="1">
      <c r="A185" s="125" t="inlineStr">
        <is>
          <t xml:space="preserve">    sku_id,</t>
        </is>
      </c>
    </row>
    <row r="186" ht="14" customHeight="1">
      <c r="A186" s="125" t="inlineStr">
        <is>
          <t xml:space="preserve">    sku_name,</t>
        </is>
      </c>
    </row>
    <row r="187" ht="14" customHeight="1">
      <c r="A187" s="125" t="inlineStr">
        <is>
          <t xml:space="preserve">    subcategory,</t>
        </is>
      </c>
    </row>
    <row r="188" ht="14" customHeight="1">
      <c r="A188" s="125" t="inlineStr">
        <is>
          <t xml:space="preserve">    channel,</t>
        </is>
      </c>
    </row>
    <row r="189" ht="14" customHeight="1">
      <c r="A189" s="125" t="inlineStr">
        <is>
          <t xml:space="preserve">    units_sold,</t>
        </is>
      </c>
    </row>
    <row r="190" ht="14" customHeight="1">
      <c r="A190" s="125" t="inlineStr">
        <is>
          <t xml:space="preserve">    return_units,</t>
        </is>
      </c>
    </row>
    <row r="191" ht="14" customHeight="1">
      <c r="A191" s="125" t="inlineStr">
        <is>
          <t xml:space="preserve">    period_net_units,</t>
        </is>
      </c>
    </row>
    <row r="192" ht="14" customHeight="1">
      <c r="A192" s="125" t="inlineStr">
        <is>
          <t xml:space="preserve">    econ_units,</t>
        </is>
      </c>
    </row>
    <row r="193" ht="14" customHeight="1">
      <c r="A193" s="125" t="inlineStr">
        <is>
          <t xml:space="preserve">    return_shock_units,</t>
        </is>
      </c>
    </row>
    <row r="194" ht="14" customHeight="1">
      <c r="A194" s="125" t="inlineStr">
        <is>
          <t xml:space="preserve">    ROUND(net_revenue,          2)                              AS net_revenue,</t>
        </is>
      </c>
    </row>
    <row r="195" ht="14" customHeight="1">
      <c r="A195" s="125" t="inlineStr">
        <is>
          <t xml:space="preserve">    ROUND(total_variable_cost,  2)                              AS total_variable_cost,</t>
        </is>
      </c>
    </row>
    <row r="196" ht="14" customHeight="1">
      <c r="A196" s="125" t="inlineStr">
        <is>
          <t xml:space="preserve">    ROUND(total_cm,             2)                              AS total_cm,</t>
        </is>
      </c>
    </row>
    <row r="197" ht="14" customHeight="1">
      <c r="A197" s="125" t="inlineStr">
        <is>
          <t xml:space="preserve">    ROUND(cm_pct * 100,         1)                              AS cm_pct,</t>
        </is>
      </c>
    </row>
    <row r="198" ht="14" customHeight="1">
      <c r="A198" s="125" t="inlineStr">
        <is>
          <t xml:space="preserve">    ROUND(cm_per_unit,          2)                              AS cm_per_unit,</t>
        </is>
      </c>
    </row>
    <row r="199" ht="14" customHeight="1">
      <c r="A199" s="125" t="inlineStr">
        <is>
          <t xml:space="preserve">    vip_bucket,</t>
        </is>
      </c>
    </row>
    <row r="200" ht="14" customHeight="1">
      <c r="A200" s="125" t="inlineStr">
        <is>
          <t xml:space="preserve">    channel_bucket,</t>
        </is>
      </c>
    </row>
    <row r="201" ht="14" customHeight="1">
      <c r="A201" s="125" t="inlineStr">
        <is>
          <t xml:space="preserve">    global_rank,</t>
        </is>
      </c>
    </row>
    <row r="202" ht="14" customHeight="1">
      <c r="A202" s="125" t="inlineStr">
        <is>
          <t xml:space="preserve">    channel_rank,</t>
        </is>
      </c>
    </row>
    <row r="203" ht="14" customHeight="1">
      <c r="A203" s="126" t="inlineStr">
        <is>
          <t xml:space="preserve">    CASE vip_bucket</t>
        </is>
      </c>
    </row>
    <row r="204" ht="14" customHeight="1">
      <c r="A204" s="126" t="inlineStr">
        <is>
          <t xml:space="preserve">        WHEN 1 THEN 'Top Contributors'</t>
        </is>
      </c>
    </row>
    <row r="205" ht="14" customHeight="1">
      <c r="A205" s="126" t="inlineStr">
        <is>
          <t xml:space="preserve">        WHEN 2 THEN 'Strong Performers'</t>
        </is>
      </c>
    </row>
    <row r="206" ht="14" customHeight="1">
      <c r="A206" s="126" t="inlineStr">
        <is>
          <t xml:space="preserve">        WHEN 3 THEN 'Under Review'</t>
        </is>
      </c>
    </row>
    <row r="207" ht="14" customHeight="1">
      <c r="A207" s="126" t="inlineStr">
        <is>
          <t xml:space="preserve">        WHEN 4 THEN 'Low Contributors'</t>
        </is>
      </c>
    </row>
    <row r="208" ht="14" customHeight="1">
      <c r="A208" s="126" t="inlineStr">
        <is>
          <t xml:space="preserve">        ELSE CONCAT('Q', vip_bucket::TEXT)</t>
        </is>
      </c>
    </row>
    <row r="209" ht="14" customHeight="1">
      <c r="A209" s="126" t="inlineStr">
        <is>
          <t xml:space="preserve">    END                                            AS vip_label,</t>
        </is>
      </c>
    </row>
    <row r="210" ht="14" customHeight="1">
      <c r="A210" s="126" t="inlineStr">
        <is>
          <t xml:space="preserve">    CASE vip_bucket</t>
        </is>
      </c>
    </row>
    <row r="211" ht="14" customHeight="1">
      <c r="A211" s="126" t="inlineStr">
        <is>
          <t xml:space="preserve">        WHEN 1 THEN 'SCALE'</t>
        </is>
      </c>
    </row>
    <row r="212" ht="14" customHeight="1">
      <c r="A212" s="126" t="inlineStr">
        <is>
          <t xml:space="preserve">        WHEN 2 THEN 'OPTIMIZE'</t>
        </is>
      </c>
    </row>
    <row r="213" ht="14" customHeight="1">
      <c r="A213" s="126" t="inlineStr">
        <is>
          <t xml:space="preserve">        WHEN 3 THEN 'REVIEW'</t>
        </is>
      </c>
    </row>
    <row r="214" ht="14" customHeight="1">
      <c r="A214" s="126" t="inlineStr">
        <is>
          <t xml:space="preserve">        WHEN 4 THEN 'KILL'</t>
        </is>
      </c>
    </row>
    <row r="215" ht="14" customHeight="1">
      <c r="A215" s="126" t="inlineStr">
        <is>
          <t xml:space="preserve">        ELSE CONCAT('BUCKET_', vip_bucket::TEXT)</t>
        </is>
      </c>
    </row>
    <row r="216" ht="14" customHeight="1">
      <c r="A216" s="126" t="inlineStr">
        <is>
          <t xml:space="preserve">    END                                                         AS decision,</t>
        </is>
      </c>
    </row>
    <row r="217" ht="14" customHeight="1">
      <c r="A217" s="126" t="inlineStr">
        <is>
          <t xml:space="preserve">    CASE</t>
        </is>
      </c>
    </row>
    <row r="218" ht="14" customHeight="1">
      <c r="A218" s="126" t="inlineStr">
        <is>
          <t xml:space="preserve">        WHEN period_net_units &lt; 0 THEN '🔴 RETURN SHOCK'</t>
        </is>
      </c>
    </row>
    <row r="219" ht="14" customHeight="1">
      <c r="A219" s="126" t="inlineStr">
        <is>
          <t xml:space="preserve">        WHEN return_shock_units &gt; 0 THEN '⚠ PARTIAL RETURN SHOCK'</t>
        </is>
      </c>
    </row>
    <row r="220" ht="14" customHeight="1">
      <c r="A220" s="126" t="inlineStr">
        <is>
          <t xml:space="preserve">        ELSE NULL</t>
        </is>
      </c>
    </row>
    <row r="221" ht="14" customHeight="1">
      <c r="A221" s="126" t="inlineStr">
        <is>
          <t xml:space="preserve">    END                                                         AS return_shock_flag</t>
        </is>
      </c>
    </row>
    <row r="222" ht="14" customHeight="1">
      <c r="A222" s="126" t="inlineStr">
        <is>
          <t>FROM ranked</t>
        </is>
      </c>
    </row>
    <row r="223" ht="14" customHeight="1">
      <c r="A223" s="126" t="inlineStr">
        <is>
          <t>ORDER BY vip_bucket, total_cm DESC;</t>
        </is>
      </c>
    </row>
    <row r="224" ht="14" customHeight="1">
      <c r="A224" s="125" t="inlineStr"/>
    </row>
    <row r="225" ht="10" customHeight="1"/>
    <row r="226" ht="24" customHeight="1">
      <c r="A226" s="119" t="inlineStr">
        <is>
          <t xml:space="preserve">  Q3 — Margin Leak Detection (v4.2 Dual-Lens)</t>
        </is>
      </c>
    </row>
    <row r="227" ht="32" customHeight="1">
      <c r="A227" s="120" t="inlineStr">
        <is>
          <t>Purpose</t>
        </is>
      </c>
      <c r="B227" s="121" t="inlineStr">
        <is>
          <t>Detects margin leaks using dual-lens accounting. Estimates € revenue-at-risk from CM drop. Return shock scenarios flagged.</t>
        </is>
      </c>
    </row>
    <row r="228" ht="16" customHeight="1">
      <c r="A228" s="120" t="inlineStr">
        <is>
          <t>Tags</t>
        </is>
      </c>
      <c r="B228" s="122" t="inlineStr">
        <is>
          <t>Analytics | Alerting | Margin Leak | Stddev | Dual-Lens</t>
        </is>
      </c>
    </row>
    <row r="229" ht="16" customHeight="1">
      <c r="A229" s="123" t="inlineStr">
        <is>
          <t>SQL</t>
        </is>
      </c>
    </row>
    <row r="230" ht="14" customHeight="1">
      <c r="A230" s="124" t="inlineStr">
        <is>
          <t>-- ============================================================</t>
        </is>
      </c>
    </row>
    <row r="231" ht="14" customHeight="1">
      <c r="A231" s="124" t="inlineStr">
        <is>
          <t>-- Q3: Margin Leak Detection (v4.2 Dual-Lens)</t>
        </is>
      </c>
    </row>
    <row r="232" ht="14" customHeight="1">
      <c r="A232" s="124" t="inlineStr">
        <is>
          <t>-- Reads from cm_results (pre-computed by ETL)</t>
        </is>
      </c>
    </row>
    <row r="233" ht="14" customHeight="1">
      <c r="A233" s="124" t="inlineStr">
        <is>
          <t>-- Flags return shock scenarios (period_net_units &lt; 0)</t>
        </is>
      </c>
    </row>
    <row r="234" ht="14" customHeight="1">
      <c r="A234" s="124" t="inlineStr">
        <is>
          <t>-- revenue_at_risk: cm_drop × implied_revenue_base (€-denominated)</t>
        </is>
      </c>
    </row>
    <row r="235" ht="14" customHeight="1">
      <c r="A235" s="124" t="inlineStr">
        <is>
          <t>-- ============================================================</t>
        </is>
      </c>
    </row>
    <row r="236" ht="14" customHeight="1">
      <c r="A236" s="125" t="inlineStr"/>
    </row>
    <row r="237" ht="14" customHeight="1">
      <c r="A237" s="126" t="inlineStr">
        <is>
          <t>WITH cm_stats AS (</t>
        </is>
      </c>
    </row>
    <row r="238" ht="14" customHeight="1">
      <c r="A238" s="126" t="inlineStr">
        <is>
          <t xml:space="preserve">    SELECT</t>
        </is>
      </c>
    </row>
    <row r="239" ht="14" customHeight="1">
      <c r="A239" s="125" t="inlineStr">
        <is>
          <t xml:space="preserve">        sku_id,</t>
        </is>
      </c>
    </row>
    <row r="240" ht="14" customHeight="1">
      <c r="A240" s="125" t="inlineStr">
        <is>
          <t xml:space="preserve">        channel,</t>
        </is>
      </c>
    </row>
    <row r="241" ht="14" customHeight="1">
      <c r="A241" s="125" t="inlineStr">
        <is>
          <t xml:space="preserve">        AVG(cm_pct)              AS avg_cm_pct,</t>
        </is>
      </c>
    </row>
    <row r="242" ht="14" customHeight="1">
      <c r="A242" s="125" t="inlineStr">
        <is>
          <t xml:space="preserve">        STDDEV_POP(cm_pct)       AS cm_pct_std,</t>
        </is>
      </c>
    </row>
    <row r="243" ht="14" customHeight="1">
      <c r="A243" s="125" t="inlineStr">
        <is>
          <t xml:space="preserve">        AVG(discount_pct)        AS avg_discount,</t>
        </is>
      </c>
    </row>
    <row r="244" ht="14" customHeight="1">
      <c r="A244" s="125" t="inlineStr">
        <is>
          <t xml:space="preserve">        AVG(</t>
        </is>
      </c>
    </row>
    <row r="245" ht="14" customHeight="1">
      <c r="A245" s="125" t="inlineStr">
        <is>
          <t xml:space="preserve">            return_units::NUMERIC / NULLIF(units_sold, 0)</t>
        </is>
      </c>
    </row>
    <row r="246" ht="14" customHeight="1">
      <c r="A246" s="125" t="inlineStr">
        <is>
          <t xml:space="preserve">        )                        AS avg_return_rate</t>
        </is>
      </c>
    </row>
    <row r="247" ht="14" customHeight="1">
      <c r="A247" s="126" t="inlineStr">
        <is>
          <t xml:space="preserve">    FROM  margin_intelligence.cm_results</t>
        </is>
      </c>
    </row>
    <row r="248" ht="14" customHeight="1">
      <c r="A248" s="126" t="inlineStr">
        <is>
          <t xml:space="preserve">    WHERE econ_units &gt; 0         -- exclude pure return shock periods</t>
        </is>
      </c>
    </row>
    <row r="249" ht="14" customHeight="1">
      <c r="A249" s="126" t="inlineStr">
        <is>
          <t xml:space="preserve">    GROUP BY sku_id, channel</t>
        </is>
      </c>
    </row>
    <row r="250" ht="14" customHeight="1">
      <c r="A250" s="125" t="inlineStr">
        <is>
          <t>),</t>
        </is>
      </c>
    </row>
    <row r="251" ht="14" customHeight="1">
      <c r="A251" s="125" t="inlineStr"/>
    </row>
    <row r="252" ht="14" customHeight="1">
      <c r="A252" s="125" t="inlineStr">
        <is>
          <t>current_period AS (</t>
        </is>
      </c>
    </row>
    <row r="253" ht="14" customHeight="1">
      <c r="A253" s="126" t="inlineStr">
        <is>
          <t xml:space="preserve">    SELECT DISTINCT ON (r.sku_id, r.channel)</t>
        </is>
      </c>
    </row>
    <row r="254" ht="14" customHeight="1">
      <c r="A254" s="125" t="inlineStr">
        <is>
          <t xml:space="preserve">        r.sku_id,</t>
        </is>
      </c>
    </row>
    <row r="255" ht="14" customHeight="1">
      <c r="A255" s="125" t="inlineStr">
        <is>
          <t xml:space="preserve">        s.sku_name,</t>
        </is>
      </c>
    </row>
    <row r="256" ht="14" customHeight="1">
      <c r="A256" s="125" t="inlineStr">
        <is>
          <t xml:space="preserve">        s.subcategory,</t>
        </is>
      </c>
    </row>
    <row r="257" ht="14" customHeight="1">
      <c r="A257" s="125" t="inlineStr">
        <is>
          <t xml:space="preserve">        r.channel,</t>
        </is>
      </c>
    </row>
    <row r="258" ht="14" customHeight="1">
      <c r="A258" s="125" t="inlineStr">
        <is>
          <t xml:space="preserve">        r.calc_date,</t>
        </is>
      </c>
    </row>
    <row r="259" ht="14" customHeight="1">
      <c r="A259" s="125" t="inlineStr">
        <is>
          <t xml:space="preserve">        r.units_sold,</t>
        </is>
      </c>
    </row>
    <row r="260" ht="14" customHeight="1">
      <c r="A260" s="125" t="inlineStr">
        <is>
          <t xml:space="preserve">        r.return_units,</t>
        </is>
      </c>
    </row>
    <row r="261" ht="14" customHeight="1">
      <c r="A261" s="125" t="inlineStr">
        <is>
          <t xml:space="preserve">        r.period_net_units,</t>
        </is>
      </c>
    </row>
    <row r="262" ht="14" customHeight="1">
      <c r="A262" s="125" t="inlineStr">
        <is>
          <t xml:space="preserve">        r.econ_units,</t>
        </is>
      </c>
    </row>
    <row r="263" ht="14" customHeight="1">
      <c r="A263" s="125" t="inlineStr">
        <is>
          <t xml:space="preserve">        r.return_shock_units,</t>
        </is>
      </c>
    </row>
    <row r="264" ht="14" customHeight="1">
      <c r="A264" s="125" t="inlineStr">
        <is>
          <t xml:space="preserve">        r.cm_per_unit,</t>
        </is>
      </c>
    </row>
    <row r="265" ht="14" customHeight="1">
      <c r="A265" s="125" t="inlineStr">
        <is>
          <t xml:space="preserve">        r.cm_pct,</t>
        </is>
      </c>
    </row>
    <row r="266" ht="14" customHeight="1">
      <c r="A266" s="125" t="inlineStr">
        <is>
          <t xml:space="preserve">        r.total_cm,</t>
        </is>
      </c>
    </row>
    <row r="267" ht="14" customHeight="1">
      <c r="A267" s="125" t="inlineStr">
        <is>
          <t xml:space="preserve">        r.discount_pct,</t>
        </is>
      </c>
    </row>
    <row r="268" ht="14" customHeight="1">
      <c r="A268" s="125" t="inlineStr">
        <is>
          <t xml:space="preserve">        r.return_units::NUMERIC / NULLIF(r.units_sold, 0) AS actual_return_rate</t>
        </is>
      </c>
    </row>
    <row r="269" ht="14" customHeight="1">
      <c r="A269" s="126" t="inlineStr">
        <is>
          <t xml:space="preserve">    FROM  margin_intelligence.cm_results  r</t>
        </is>
      </c>
    </row>
    <row r="270" ht="14" customHeight="1">
      <c r="A270" s="126" t="inlineStr">
        <is>
          <t xml:space="preserve">    JOIN  margin_intelligence.sku_master  s ON s.sku_id = r.sku_id</t>
        </is>
      </c>
    </row>
    <row r="271" ht="14" customHeight="1">
      <c r="A271" s="126" t="inlineStr">
        <is>
          <t xml:space="preserve">    ORDER BY r.sku_id, r.channel, r.calc_date DESC</t>
        </is>
      </c>
    </row>
    <row r="272" ht="14" customHeight="1">
      <c r="A272" s="125" t="inlineStr">
        <is>
          <t>),</t>
        </is>
      </c>
    </row>
    <row r="273" ht="14" customHeight="1">
      <c r="A273" s="125" t="inlineStr"/>
    </row>
    <row r="274" ht="14" customHeight="1">
      <c r="A274" s="125" t="inlineStr">
        <is>
          <t>flagged AS (</t>
        </is>
      </c>
    </row>
    <row r="275" ht="14" customHeight="1">
      <c r="A275" s="126" t="inlineStr">
        <is>
          <t xml:space="preserve">    SELECT</t>
        </is>
      </c>
    </row>
    <row r="276" ht="14" customHeight="1">
      <c r="A276" s="125" t="inlineStr">
        <is>
          <t xml:space="preserve">        c.*,</t>
        </is>
      </c>
    </row>
    <row r="277" ht="14" customHeight="1">
      <c r="A277" s="125" t="inlineStr">
        <is>
          <t xml:space="preserve">        b.avg_cm_pct,</t>
        </is>
      </c>
    </row>
    <row r="278" ht="14" customHeight="1">
      <c r="A278" s="125" t="inlineStr">
        <is>
          <t xml:space="preserve">        b.cm_pct_std,</t>
        </is>
      </c>
    </row>
    <row r="279" ht="14" customHeight="1">
      <c r="A279" s="125" t="inlineStr">
        <is>
          <t xml:space="preserve">        b.avg_discount,</t>
        </is>
      </c>
    </row>
    <row r="280" ht="14" customHeight="1">
      <c r="A280" s="125" t="inlineStr">
        <is>
          <t xml:space="preserve">        b.avg_return_rate,</t>
        </is>
      </c>
    </row>
    <row r="281" ht="14" customHeight="1">
      <c r="A281" s="125" t="inlineStr">
        <is>
          <t xml:space="preserve">        ROUND((b.avg_cm_pct - c.cm_pct) * 100, 2)             AS cm_drop_pp,</t>
        </is>
      </c>
    </row>
    <row r="282" ht="14" customHeight="1">
      <c r="A282" s="125" t="inlineStr">
        <is>
          <t xml:space="preserve">        ROUND((c.actual_return_rate - b.avg_return_rate) * 100, 2) AS returns_spike_pp,</t>
        </is>
      </c>
    </row>
    <row r="283" ht="14" customHeight="1">
      <c r="A283" s="126" t="inlineStr">
        <is>
          <t xml:space="preserve">        CASE</t>
        </is>
      </c>
    </row>
    <row r="284" ht="14" customHeight="1">
      <c r="A284" s="126" t="inlineStr">
        <is>
          <t xml:space="preserve">            WHEN c.cm_pct &gt; 0</t>
        </is>
      </c>
    </row>
    <row r="285" ht="14" customHeight="1">
      <c r="A285" s="126" t="inlineStr">
        <is>
          <t xml:space="preserve">             AND c.total_cm &gt; 500</t>
        </is>
      </c>
    </row>
    <row r="286" ht="14" customHeight="1">
      <c r="A286" s="126" t="inlineStr">
        <is>
          <t xml:space="preserve">             AND (b.avg_cm_pct - c.cm_pct) &gt; 0</t>
        </is>
      </c>
    </row>
    <row r="287" ht="14" customHeight="1">
      <c r="A287" s="126" t="inlineStr">
        <is>
          <t xml:space="preserve">            THEN ROUND(</t>
        </is>
      </c>
    </row>
    <row r="288" ht="14" customHeight="1">
      <c r="A288" s="125" t="inlineStr">
        <is>
          <t xml:space="preserve">                (b.avg_cm_pct - c.cm_pct)</t>
        </is>
      </c>
    </row>
    <row r="289" ht="14" customHeight="1">
      <c r="A289" s="125" t="inlineStr">
        <is>
          <t xml:space="preserve">                * (c.total_cm / NULLIF(c.cm_pct, 0))</t>
        </is>
      </c>
    </row>
    <row r="290" ht="14" customHeight="1">
      <c r="A290" s="125" t="inlineStr">
        <is>
          <t xml:space="preserve">            , 2)</t>
        </is>
      </c>
    </row>
    <row r="291" ht="14" customHeight="1">
      <c r="A291" s="126" t="inlineStr">
        <is>
          <t xml:space="preserve">            ELSE 0</t>
        </is>
      </c>
    </row>
    <row r="292" ht="14" customHeight="1">
      <c r="A292" s="126" t="inlineStr">
        <is>
          <t xml:space="preserve">        END                                                     AS revenue_at_risk,</t>
        </is>
      </c>
    </row>
    <row r="293" ht="14" customHeight="1">
      <c r="A293" s="125" t="inlineStr">
        <is>
          <t xml:space="preserve">        c.period_net_units &lt; 0                                  AS flag_return_shock,</t>
        </is>
      </c>
    </row>
    <row r="294" ht="14" customHeight="1">
      <c r="A294" s="125" t="inlineStr">
        <is>
          <t xml:space="preserve">        c.discount_pct &gt; 0.15       AS flag_discount_spike,</t>
        </is>
      </c>
    </row>
    <row r="295" ht="14" customHeight="1">
      <c r="A295" s="125" t="inlineStr">
        <is>
          <t xml:space="preserve">        (c.actual_return_rate - b.avg_return_rate) &gt; 0.03</t>
        </is>
      </c>
    </row>
    <row r="296" ht="14" customHeight="1">
      <c r="A296" s="126" t="inlineStr">
        <is>
          <t xml:space="preserve">                                                                AS flag_returns_spike,</t>
        </is>
      </c>
    </row>
    <row r="297" ht="14" customHeight="1">
      <c r="A297" s="125" t="inlineStr">
        <is>
          <t xml:space="preserve">        (b.avg_cm_pct - c.cm_pct) &gt; 0.1    AS flag_cm_drop,</t>
        </is>
      </c>
    </row>
    <row r="298" ht="14" customHeight="1">
      <c r="A298" s="125" t="inlineStr">
        <is>
          <t xml:space="preserve">        c.cm_pct &lt; (b.avg_cm_pct - 1.0 * b.cm_pct_std)</t>
        </is>
      </c>
    </row>
    <row r="299" ht="14" customHeight="1">
      <c r="A299" s="126" t="inlineStr">
        <is>
          <t xml:space="preserve">                                                                AS flag_stddev_breach</t>
        </is>
      </c>
    </row>
    <row r="300" ht="14" customHeight="1">
      <c r="A300" s="126" t="inlineStr">
        <is>
          <t xml:space="preserve">    FROM  current_period c</t>
        </is>
      </c>
    </row>
    <row r="301" ht="14" customHeight="1">
      <c r="A301" s="126" t="inlineStr">
        <is>
          <t xml:space="preserve">    LEFT JOIN  cm_stats  b ON b.sku_id = c.sku_id AND b.channel = c.channel</t>
        </is>
      </c>
    </row>
    <row r="302" ht="14" customHeight="1">
      <c r="A302" s="125" t="inlineStr">
        <is>
          <t>)</t>
        </is>
      </c>
    </row>
    <row r="303" ht="14" customHeight="1">
      <c r="A303" s="125" t="inlineStr"/>
    </row>
    <row r="304" ht="14" customHeight="1">
      <c r="A304" s="126" t="inlineStr">
        <is>
          <t>SELECT</t>
        </is>
      </c>
    </row>
    <row r="305" ht="14" customHeight="1">
      <c r="A305" s="125" t="inlineStr">
        <is>
          <t xml:space="preserve">    sku_id, sku_name, subcategory, channel, calc_date,</t>
        </is>
      </c>
    </row>
    <row r="306" ht="14" customHeight="1">
      <c r="A306" s="125" t="inlineStr">
        <is>
          <t xml:space="preserve">    units_sold, return_units, period_net_units, econ_units, return_shock_units,</t>
        </is>
      </c>
    </row>
    <row r="307" ht="14" customHeight="1">
      <c r="A307" s="125" t="inlineStr">
        <is>
          <t xml:space="preserve">    ROUND(discount_pct * 100, 1)        AS discount_pct,</t>
        </is>
      </c>
    </row>
    <row r="308" ht="14" customHeight="1">
      <c r="A308" s="125" t="inlineStr">
        <is>
          <t xml:space="preserve">    ROUND(avg_discount * 100, 1)        AS baseline_discount_pct,</t>
        </is>
      </c>
    </row>
    <row r="309" ht="14" customHeight="1">
      <c r="A309" s="125" t="inlineStr">
        <is>
          <t xml:space="preserve">    ROUND(actual_return_rate * 100, 1)  AS actual_return_rate_pct,</t>
        </is>
      </c>
    </row>
    <row r="310" ht="14" customHeight="1">
      <c r="A310" s="125" t="inlineStr">
        <is>
          <t xml:space="preserve">    ROUND(avg_return_rate * 100, 1)     AS baseline_return_rate_pct,</t>
        </is>
      </c>
    </row>
    <row r="311" ht="14" customHeight="1">
      <c r="A311" s="125" t="inlineStr">
        <is>
          <t xml:space="preserve">    returns_spike_pp,</t>
        </is>
      </c>
    </row>
    <row r="312" ht="14" customHeight="1">
      <c r="A312" s="125" t="inlineStr">
        <is>
          <t xml:space="preserve">    ROUND(cm_pct * 100, 1)              AS cm_pct,</t>
        </is>
      </c>
    </row>
    <row r="313" ht="14" customHeight="1">
      <c r="A313" s="125" t="inlineStr">
        <is>
          <t xml:space="preserve">    ROUND(avg_cm_pct * 100, 1)          AS baseline_cm_pct,</t>
        </is>
      </c>
    </row>
    <row r="314" ht="14" customHeight="1">
      <c r="A314" s="125" t="inlineStr">
        <is>
          <t xml:space="preserve">    cm_drop_pp,</t>
        </is>
      </c>
    </row>
    <row r="315" ht="14" customHeight="1">
      <c r="A315" s="125" t="inlineStr">
        <is>
          <t xml:space="preserve">    ROUND(total_cm, 2)                  AS total_cm,</t>
        </is>
      </c>
    </row>
    <row r="316" ht="14" customHeight="1">
      <c r="A316" s="125" t="inlineStr">
        <is>
          <t xml:space="preserve">    revenue_at_risk,</t>
        </is>
      </c>
    </row>
    <row r="317" ht="14" customHeight="1">
      <c r="A317" s="125" t="inlineStr">
        <is>
          <t xml:space="preserve">    flag_return_shock,</t>
        </is>
      </c>
    </row>
    <row r="318" ht="14" customHeight="1">
      <c r="A318" s="125" t="inlineStr">
        <is>
          <t xml:space="preserve">    flag_discount_spike,</t>
        </is>
      </c>
    </row>
    <row r="319" ht="14" customHeight="1">
      <c r="A319" s="125" t="inlineStr">
        <is>
          <t xml:space="preserve">    flag_returns_spike,</t>
        </is>
      </c>
    </row>
    <row r="320" ht="14" customHeight="1">
      <c r="A320" s="125" t="inlineStr">
        <is>
          <t xml:space="preserve">    flag_cm_drop,</t>
        </is>
      </c>
    </row>
    <row r="321" ht="14" customHeight="1">
      <c r="A321" s="125" t="inlineStr">
        <is>
          <t xml:space="preserve">    flag_stddev_breach,</t>
        </is>
      </c>
    </row>
    <row r="322" ht="14" customHeight="1">
      <c r="A322" s="126" t="inlineStr">
        <is>
          <t xml:space="preserve">    CASE</t>
        </is>
      </c>
    </row>
    <row r="323" ht="14" customHeight="1">
      <c r="A323" s="126" t="inlineStr">
        <is>
          <t xml:space="preserve">        WHEN flag_return_shock</t>
        </is>
      </c>
    </row>
    <row r="324" ht="14" customHeight="1">
      <c r="A324" s="126" t="inlineStr">
        <is>
          <t xml:space="preserve">            THEN '🔴 CRITICAL — Return shock (returns &gt; sales)'</t>
        </is>
      </c>
    </row>
    <row r="325" ht="14" customHeight="1">
      <c r="A325" s="126" t="inlineStr">
        <is>
          <t xml:space="preserve">        WHEN flag_cm_drop AND flag_discount_spike</t>
        </is>
      </c>
    </row>
    <row r="326" ht="14" customHeight="1">
      <c r="A326" s="126" t="inlineStr">
        <is>
          <t xml:space="preserve">            THEN '🔴 LEAK — Discount spike + CM drop'</t>
        </is>
      </c>
    </row>
    <row r="327" ht="14" customHeight="1">
      <c r="A327" s="126" t="inlineStr">
        <is>
          <t xml:space="preserve">        WHEN flag_cm_drop AND flag_returns_spike</t>
        </is>
      </c>
    </row>
    <row r="328" ht="14" customHeight="1">
      <c r="A328" s="126" t="inlineStr">
        <is>
          <t xml:space="preserve">            THEN '🔴 LEAK — Returns spike + CM drop'</t>
        </is>
      </c>
    </row>
    <row r="329" ht="14" customHeight="1">
      <c r="A329" s="126" t="inlineStr">
        <is>
          <t xml:space="preserve">        WHEN flag_stddev_breach AND revenue_at_risk &gt; 0</t>
        </is>
      </c>
    </row>
    <row r="330" ht="14" customHeight="1">
      <c r="A330" s="126" t="inlineStr">
        <is>
          <t xml:space="preserve">            THEN '🔴 LEAK — Below stddev band'</t>
        </is>
      </c>
    </row>
    <row r="331" ht="14" customHeight="1">
      <c r="A331" s="126" t="inlineStr">
        <is>
          <t xml:space="preserve">        WHEN flag_discount_spike THEN '🟡 WATCH — Discount spike'</t>
        </is>
      </c>
    </row>
    <row r="332" ht="14" customHeight="1">
      <c r="A332" s="126" t="inlineStr">
        <is>
          <t xml:space="preserve">        WHEN flag_returns_spike  THEN '🟡 WATCH — Returns spike'</t>
        </is>
      </c>
    </row>
    <row r="333" ht="14" customHeight="1">
      <c r="A333" s="126" t="inlineStr">
        <is>
          <t xml:space="preserve">        WHEN flag_cm_drop        THEN '🟡 WATCH — CM drop'</t>
        </is>
      </c>
    </row>
    <row r="334" ht="14" customHeight="1">
      <c r="A334" s="126" t="inlineStr">
        <is>
          <t xml:space="preserve">        ELSE '🟢 OK'</t>
        </is>
      </c>
    </row>
    <row r="335" ht="14" customHeight="1">
      <c r="A335" s="126" t="inlineStr">
        <is>
          <t xml:space="preserve">    END                                 AS leak_signal</t>
        </is>
      </c>
    </row>
    <row r="336" ht="14" customHeight="1">
      <c r="A336" s="126" t="inlineStr">
        <is>
          <t>FROM flagged</t>
        </is>
      </c>
    </row>
    <row r="337" ht="14" customHeight="1">
      <c r="A337" s="126" t="inlineStr">
        <is>
          <t xml:space="preserve">WHERE (flag_return_shock OR flag_discount_spike OR flag_returns_spike </t>
        </is>
      </c>
    </row>
    <row r="338" ht="14" customHeight="1">
      <c r="A338" s="126" t="inlineStr">
        <is>
          <t xml:space="preserve">       OR flag_cm_drop OR flag_stddev_breach)</t>
        </is>
      </c>
    </row>
    <row r="339" ht="14" customHeight="1">
      <c r="A339" s="126" t="inlineStr">
        <is>
          <t>ORDER BY flag_return_shock DESC, revenue_at_risk DESC, cm_drop_pp DESC;</t>
        </is>
      </c>
    </row>
    <row r="340" ht="14" customHeight="1">
      <c r="A340" s="125" t="inlineStr"/>
    </row>
    <row r="341" ht="10" customHeight="1"/>
    <row r="342" ht="24" customHeight="1">
      <c r="A342" s="119" t="inlineStr">
        <is>
          <t xml:space="preserve">  Q4 — LAG Revenue Shift Analysis (v4.2 Dual-Lens)</t>
        </is>
      </c>
    </row>
    <row r="343" ht="32" customHeight="1">
      <c r="A343" s="120" t="inlineStr">
        <is>
          <t>Purpose</t>
        </is>
      </c>
      <c r="B343" s="121" t="inlineStr">
        <is>
          <t>Weekly trend decomposition with LAG-based comparisons using dual-lens accounting. Net revenue includes shipping income. Channel fees on econ_units.</t>
        </is>
      </c>
    </row>
    <row r="344" ht="16" customHeight="1">
      <c r="A344" s="120" t="inlineStr">
        <is>
          <t>Tags</t>
        </is>
      </c>
      <c r="B344" s="122" t="inlineStr">
        <is>
          <t>Analytics | Trend | LAG | Window Function | Dual-Lens</t>
        </is>
      </c>
    </row>
    <row r="345" ht="16" customHeight="1">
      <c r="A345" s="123" t="inlineStr">
        <is>
          <t>SQL</t>
        </is>
      </c>
    </row>
    <row r="346" ht="14" customHeight="1">
      <c r="A346" s="124" t="inlineStr">
        <is>
          <t>-- ============================================================</t>
        </is>
      </c>
    </row>
    <row r="347" ht="14" customHeight="1">
      <c r="A347" s="124" t="inlineStr">
        <is>
          <t>-- Q4: LAG Revenue Shift Analysis per SKU × Channel (v4.2)</t>
        </is>
      </c>
    </row>
    <row r="348" ht="14" customHeight="1">
      <c r="A348" s="124" t="inlineStr">
        <is>
          <t>-- DUAL-LENS POLICY:</t>
        </is>
      </c>
    </row>
    <row r="349" ht="14" customHeight="1">
      <c r="A349" s="124" t="inlineStr">
        <is>
          <t>--   econ_units  = GREATEST(units_sold - return_units, 0)</t>
        </is>
      </c>
    </row>
    <row r="350" ht="14" customHeight="1">
      <c r="A350" s="124" t="inlineStr">
        <is>
          <t>--   net_revenue = econ_units × net_price_ex_vat + shipping_income</t>
        </is>
      </c>
    </row>
    <row r="351" ht="14" customHeight="1">
      <c r="A351" s="124" t="inlineStr">
        <is>
          <t>--   Channel fees applied to econ_units</t>
        </is>
      </c>
    </row>
    <row r="352" ht="14" customHeight="1">
      <c r="A352" s="124" t="inlineStr">
        <is>
          <t>-- ============================================================</t>
        </is>
      </c>
    </row>
    <row r="353" ht="14" customHeight="1">
      <c r="A353" s="125" t="inlineStr"/>
    </row>
    <row r="354" ht="14" customHeight="1">
      <c r="A354" s="126" t="inlineStr">
        <is>
          <t>WITH weekly AS (</t>
        </is>
      </c>
    </row>
    <row r="355" ht="14" customHeight="1">
      <c r="A355" s="126" t="inlineStr">
        <is>
          <t xml:space="preserve">    SELECT</t>
        </is>
      </c>
    </row>
    <row r="356" ht="14" customHeight="1">
      <c r="A356" s="125" t="inlineStr">
        <is>
          <t xml:space="preserve">        o.sku_id,</t>
        </is>
      </c>
    </row>
    <row r="357" ht="14" customHeight="1">
      <c r="A357" s="125" t="inlineStr">
        <is>
          <t xml:space="preserve">        s.sku_name,</t>
        </is>
      </c>
    </row>
    <row r="358" ht="14" customHeight="1">
      <c r="A358" s="125" t="inlineStr">
        <is>
          <t xml:space="preserve">        s.subcategory,</t>
        </is>
      </c>
    </row>
    <row r="359" ht="14" customHeight="1">
      <c r="A359" s="125" t="inlineStr">
        <is>
          <t xml:space="preserve">        o.channel,</t>
        </is>
      </c>
    </row>
    <row r="360" ht="14" customHeight="1">
      <c r="A360" s="125" t="inlineStr">
        <is>
          <t xml:space="preserve">        DATE_TRUNC('week', o.order_date)                        AS week_start,</t>
        </is>
      </c>
    </row>
    <row r="361" ht="14" customHeight="1">
      <c r="A361" s="125" t="inlineStr">
        <is>
          <t xml:space="preserve">        SUM(o.units_sold)                                       AS units_sold,</t>
        </is>
      </c>
    </row>
    <row r="362" ht="14" customHeight="1">
      <c r="A362" s="125" t="inlineStr">
        <is>
          <t xml:space="preserve">        SUM(o.return_units)                                     AS return_units,</t>
        </is>
      </c>
    </row>
    <row r="363" ht="14" customHeight="1">
      <c r="A363" s="125" t="inlineStr">
        <is>
          <t xml:space="preserve">        SUM(o.units_sold - o.return_units)                      AS period_net_units,</t>
        </is>
      </c>
    </row>
    <row r="364" ht="14" customHeight="1">
      <c r="A364" s="125" t="inlineStr">
        <is>
          <t xml:space="preserve">        SUM(GREATEST(o.units_sold - o.return_units, 0))         AS econ_units,</t>
        </is>
      </c>
    </row>
    <row r="365" ht="14" customHeight="1">
      <c r="A365" s="125" t="inlineStr">
        <is>
          <t xml:space="preserve">        AVG(o.discount_pct)                                     AS avg_discount,</t>
        </is>
      </c>
    </row>
    <row r="366" ht="14" customHeight="1">
      <c r="A366" s="125" t="inlineStr">
        <is>
          <t xml:space="preserve">        SUM(</t>
        </is>
      </c>
    </row>
    <row r="367" ht="14" customHeight="1">
      <c r="A367" s="125" t="inlineStr">
        <is>
          <t xml:space="preserve">            GREATEST(o.units_sold - o.return_units, 0) * o.net_price_ex_vat</t>
        </is>
      </c>
    </row>
    <row r="368" ht="14" customHeight="1">
      <c r="A368" s="125" t="inlineStr">
        <is>
          <t xml:space="preserve">            + COALESCE(o.shipping_income, 0)</t>
        </is>
      </c>
    </row>
    <row r="369" ht="14" customHeight="1">
      <c r="A369" s="125" t="inlineStr">
        <is>
          <t xml:space="preserve">        )                                                       AS net_revenue,</t>
        </is>
      </c>
    </row>
    <row r="370" ht="14" customHeight="1">
      <c r="A370" s="125" t="inlineStr">
        <is>
          <t xml:space="preserve">        SUM(</t>
        </is>
      </c>
    </row>
    <row r="371" ht="14" customHeight="1">
      <c r="A371" s="125" t="inlineStr">
        <is>
          <t xml:space="preserve">            o.units_sold * (s.cogs + s.packaging_cost + s.inbound_freight)</t>
        </is>
      </c>
    </row>
    <row r="372" ht="14" customHeight="1">
      <c r="A372" s="125" t="inlineStr">
        <is>
          <t xml:space="preserve">            + GREATEST(o.units_sold - o.return_units, 0) * (</t>
        </is>
      </c>
    </row>
    <row r="373" ht="14" customHeight="1">
      <c r="A373" s="125" t="inlineStr">
        <is>
          <t xml:space="preserve">                c.referral_fee_pct         * o.net_price_ex_vat</t>
        </is>
      </c>
    </row>
    <row r="374" ht="14" customHeight="1">
      <c r="A374" s="125" t="inlineStr">
        <is>
          <t xml:space="preserve">                + c.fulfilment_fee_per_unit</t>
        </is>
      </c>
    </row>
    <row r="375" ht="14" customHeight="1">
      <c r="A375" s="125" t="inlineStr">
        <is>
          <t xml:space="preserve">                + c.shipping_fee_per_unit</t>
        </is>
      </c>
    </row>
    <row r="376" ht="14" customHeight="1">
      <c r="A376" s="125" t="inlineStr">
        <is>
          <t xml:space="preserve">                + c.ads_pct                * o.net_price_ex_vat</t>
        </is>
      </c>
    </row>
    <row r="377" ht="14" customHeight="1">
      <c r="A377" s="125" t="inlineStr">
        <is>
          <t xml:space="preserve">                + c.payment_gateway_pct    * o.net_price_ex_vat</t>
        </is>
      </c>
    </row>
    <row r="378" ht="14" customHeight="1">
      <c r="A378" s="125" t="inlineStr">
        <is>
          <t xml:space="preserve">            )</t>
        </is>
      </c>
    </row>
    <row r="379" ht="14" customHeight="1">
      <c r="A379" s="125" t="inlineStr">
        <is>
          <t xml:space="preserve">            + o.return_units * c.return_processing_fee</t>
        </is>
      </c>
    </row>
    <row r="380" ht="14" customHeight="1">
      <c r="A380" s="125" t="inlineStr">
        <is>
          <t xml:space="preserve">        )                                                       AS total_variable_cost</t>
        </is>
      </c>
    </row>
    <row r="381" ht="14" customHeight="1">
      <c r="A381" s="126" t="inlineStr">
        <is>
          <t xml:space="preserve">    FROM  margin_intelligence.sales_orders   o</t>
        </is>
      </c>
    </row>
    <row r="382" ht="14" customHeight="1">
      <c r="A382" s="126" t="inlineStr">
        <is>
          <t xml:space="preserve">    JOIN  margin_intelligence.sku_master     s  ON s.sku_id  = o.sku_id</t>
        </is>
      </c>
    </row>
    <row r="383" ht="14" customHeight="1">
      <c r="A383" s="126" t="inlineStr">
        <is>
          <t xml:space="preserve">    JOIN  margin_intelligence.channel_costs  c  ON c.channel = o.channel</t>
        </is>
      </c>
    </row>
    <row r="384" ht="14" customHeight="1">
      <c r="A384" s="126" t="inlineStr">
        <is>
          <t xml:space="preserve">    GROUP BY o.sku_id, s.sku_name, s.subcategory, o.channel,</t>
        </is>
      </c>
    </row>
    <row r="385" ht="14" customHeight="1">
      <c r="A385" s="125" t="inlineStr">
        <is>
          <t xml:space="preserve">             DATE_TRUNC('week', o.order_date)</t>
        </is>
      </c>
    </row>
    <row r="386" ht="14" customHeight="1">
      <c r="A386" s="125" t="inlineStr">
        <is>
          <t>),</t>
        </is>
      </c>
    </row>
    <row r="387" ht="14" customHeight="1">
      <c r="A387" s="125" t="inlineStr"/>
    </row>
    <row r="388" ht="14" customHeight="1">
      <c r="A388" s="125" t="inlineStr">
        <is>
          <t>derived AS (</t>
        </is>
      </c>
    </row>
    <row r="389" ht="14" customHeight="1">
      <c r="A389" s="126" t="inlineStr">
        <is>
          <t xml:space="preserve">    SELECT</t>
        </is>
      </c>
    </row>
    <row r="390" ht="14" customHeight="1">
      <c r="A390" s="125" t="inlineStr">
        <is>
          <t xml:space="preserve">        *,</t>
        </is>
      </c>
    </row>
    <row r="391" ht="14" customHeight="1">
      <c r="A391" s="125" t="inlineStr">
        <is>
          <t xml:space="preserve">        net_revenue - total_variable_cost                       AS total_cm,</t>
        </is>
      </c>
    </row>
    <row r="392" ht="14" customHeight="1">
      <c r="A392" s="126" t="inlineStr">
        <is>
          <t xml:space="preserve">        CASE WHEN net_revenue &gt; 0</t>
        </is>
      </c>
    </row>
    <row r="393" ht="14" customHeight="1">
      <c r="A393" s="126" t="inlineStr">
        <is>
          <t xml:space="preserve">            THEN ROUND((net_revenue - total_variable_cost) / net_revenue, 4)</t>
        </is>
      </c>
    </row>
    <row r="394" ht="14" customHeight="1">
      <c r="A394" s="126" t="inlineStr">
        <is>
          <t xml:space="preserve">        END                                                     AS cm_pct,</t>
        </is>
      </c>
    </row>
    <row r="395" ht="14" customHeight="1">
      <c r="A395" s="126" t="inlineStr">
        <is>
          <t xml:space="preserve">        CASE WHEN econ_units &gt; 0</t>
        </is>
      </c>
    </row>
    <row r="396" ht="14" customHeight="1">
      <c r="A396" s="126" t="inlineStr">
        <is>
          <t xml:space="preserve">            THEN ROUND((net_revenue - total_variable_cost) / econ_units, 4)</t>
        </is>
      </c>
    </row>
    <row r="397" ht="14" customHeight="1">
      <c r="A397" s="126" t="inlineStr">
        <is>
          <t xml:space="preserve">        END                                                     AS cm_per_unit</t>
        </is>
      </c>
    </row>
    <row r="398" ht="14" customHeight="1">
      <c r="A398" s="126" t="inlineStr">
        <is>
          <t xml:space="preserve">    FROM weekly</t>
        </is>
      </c>
    </row>
    <row r="399" ht="14" customHeight="1">
      <c r="A399" s="125" t="inlineStr">
        <is>
          <t>),</t>
        </is>
      </c>
    </row>
    <row r="400" ht="14" customHeight="1">
      <c r="A400" s="125" t="inlineStr"/>
    </row>
    <row r="401" ht="14" customHeight="1">
      <c r="A401" s="125" t="inlineStr">
        <is>
          <t>lagged AS (</t>
        </is>
      </c>
    </row>
    <row r="402" ht="14" customHeight="1">
      <c r="A402" s="126" t="inlineStr">
        <is>
          <t xml:space="preserve">    SELECT</t>
        </is>
      </c>
    </row>
    <row r="403" ht="14" customHeight="1">
      <c r="A403" s="125" t="inlineStr">
        <is>
          <t xml:space="preserve">        *,</t>
        </is>
      </c>
    </row>
    <row r="404" ht="14" customHeight="1">
      <c r="A404" s="125" t="inlineStr">
        <is>
          <t xml:space="preserve">        LAG(net_revenue,  1) OVER w_lag                         AS net_rev_lag_1w,</t>
        </is>
      </c>
    </row>
    <row r="405" ht="14" customHeight="1">
      <c r="A405" s="125" t="inlineStr">
        <is>
          <t xml:space="preserve">        LAG(net_revenue,  4) OVER w_lag                         AS net_rev_lag_4w,</t>
        </is>
      </c>
    </row>
    <row r="406" ht="14" customHeight="1">
      <c r="A406" s="125" t="inlineStr">
        <is>
          <t xml:space="preserve">        LAG(net_revenue, 13) OVER w_lag                         AS net_rev_lag_13w,</t>
        </is>
      </c>
    </row>
    <row r="407" ht="14" customHeight="1">
      <c r="A407" s="125" t="inlineStr">
        <is>
          <t xml:space="preserve">        LAG(cm_per_unit,  1) OVER w_lag                         AS cm_unit_lag_1w,</t>
        </is>
      </c>
    </row>
    <row r="408" ht="14" customHeight="1">
      <c r="A408" s="125" t="inlineStr">
        <is>
          <t xml:space="preserve">        LAG(cm_per_unit,  4) OVER w_lag                         AS cm_unit_lag_4w,</t>
        </is>
      </c>
    </row>
    <row r="409" ht="14" customHeight="1">
      <c r="A409" s="125" t="inlineStr">
        <is>
          <t xml:space="preserve">        LAG(total_cm,     1) OVER w_lag                         AS total_cm_lag_1w,</t>
        </is>
      </c>
    </row>
    <row r="410" ht="14" customHeight="1">
      <c r="A410" s="125" t="inlineStr">
        <is>
          <t xml:space="preserve">        LAG(total_cm,     4) OVER w_lag                         AS total_cm_lag_4w,</t>
        </is>
      </c>
    </row>
    <row r="411" ht="14" customHeight="1">
      <c r="A411" s="125" t="inlineStr">
        <is>
          <t xml:space="preserve">        LAG(total_cm,    13) OVER w_lag                         AS total_cm_lag_13w,</t>
        </is>
      </c>
    </row>
    <row r="412" ht="14" customHeight="1">
      <c r="A412" s="125" t="inlineStr">
        <is>
          <t xml:space="preserve">        AVG(net_revenue) OVER (</t>
        </is>
      </c>
    </row>
    <row r="413" ht="14" customHeight="1">
      <c r="A413" s="126" t="inlineStr">
        <is>
          <t xml:space="preserve">            PARTITION BY sku_id, channel</t>
        </is>
      </c>
    </row>
    <row r="414" ht="14" customHeight="1">
      <c r="A414" s="126" t="inlineStr">
        <is>
          <t xml:space="preserve">            ORDER BY week_start</t>
        </is>
      </c>
    </row>
    <row r="415" ht="14" customHeight="1">
      <c r="A415" s="125" t="inlineStr">
        <is>
          <t xml:space="preserve">            ROWS BETWEEN 3 PRECEDING AND CURRENT ROW</t>
        </is>
      </c>
    </row>
    <row r="416" ht="14" customHeight="1">
      <c r="A416" s="125" t="inlineStr">
        <is>
          <t xml:space="preserve">        )                                                       AS rolling_4w_avg_rev,</t>
        </is>
      </c>
    </row>
    <row r="417" ht="14" customHeight="1">
      <c r="A417" s="125" t="inlineStr">
        <is>
          <t xml:space="preserve">        AVG(cm_per_unit) OVER (</t>
        </is>
      </c>
    </row>
    <row r="418" ht="14" customHeight="1">
      <c r="A418" s="126" t="inlineStr">
        <is>
          <t xml:space="preserve">            PARTITION BY sku_id, channel</t>
        </is>
      </c>
    </row>
    <row r="419" ht="14" customHeight="1">
      <c r="A419" s="126" t="inlineStr">
        <is>
          <t xml:space="preserve">            ORDER BY week_start</t>
        </is>
      </c>
    </row>
    <row r="420" ht="14" customHeight="1">
      <c r="A420" s="125" t="inlineStr">
        <is>
          <t xml:space="preserve">            ROWS BETWEEN 3 PRECEDING AND CURRENT ROW</t>
        </is>
      </c>
    </row>
    <row r="421" ht="14" customHeight="1">
      <c r="A421" s="125" t="inlineStr">
        <is>
          <t xml:space="preserve">        )                                                       AS rolling_4w_avg_cm_unit,</t>
        </is>
      </c>
    </row>
    <row r="422" ht="14" customHeight="1">
      <c r="A422" s="125" t="inlineStr">
        <is>
          <t xml:space="preserve">        SUM(total_cm) OVER (</t>
        </is>
      </c>
    </row>
    <row r="423" ht="14" customHeight="1">
      <c r="A423" s="126" t="inlineStr">
        <is>
          <t xml:space="preserve">            PARTITION BY sku_id, channel</t>
        </is>
      </c>
    </row>
    <row r="424" ht="14" customHeight="1">
      <c r="A424" s="126" t="inlineStr">
        <is>
          <t xml:space="preserve">            ORDER BY week_start</t>
        </is>
      </c>
    </row>
    <row r="425" ht="14" customHeight="1">
      <c r="A425" s="125" t="inlineStr">
        <is>
          <t xml:space="preserve">            ROWS BETWEEN UNBOUNDED PRECEDING AND CURRENT ROW</t>
        </is>
      </c>
    </row>
    <row r="426" ht="14" customHeight="1">
      <c r="A426" s="125" t="inlineStr">
        <is>
          <t xml:space="preserve">        )                                                       AS cumulative_cm</t>
        </is>
      </c>
    </row>
    <row r="427" ht="14" customHeight="1">
      <c r="A427" s="126" t="inlineStr">
        <is>
          <t xml:space="preserve">    FROM derived</t>
        </is>
      </c>
    </row>
    <row r="428" ht="14" customHeight="1">
      <c r="A428" s="126" t="inlineStr">
        <is>
          <t xml:space="preserve">    WINDOW w_lag AS (PARTITION BY sku_id, channel ORDER BY week_start)</t>
        </is>
      </c>
    </row>
    <row r="429" ht="14" customHeight="1">
      <c r="A429" s="125" t="inlineStr">
        <is>
          <t>)</t>
        </is>
      </c>
    </row>
    <row r="430" ht="14" customHeight="1">
      <c r="A430" s="125" t="inlineStr"/>
    </row>
    <row r="431" ht="14" customHeight="1">
      <c r="A431" s="126" t="inlineStr">
        <is>
          <t>SELECT</t>
        </is>
      </c>
    </row>
    <row r="432" ht="14" customHeight="1">
      <c r="A432" s="125" t="inlineStr">
        <is>
          <t xml:space="preserve">    sku_id, sku_name, subcategory, channel, week_start,</t>
        </is>
      </c>
    </row>
    <row r="433" ht="14" customHeight="1">
      <c r="A433" s="125" t="inlineStr">
        <is>
          <t xml:space="preserve">    units_sold, return_units, period_net_units, econ_units,</t>
        </is>
      </c>
    </row>
    <row r="434" ht="14" customHeight="1">
      <c r="A434" s="125" t="inlineStr">
        <is>
          <t xml:space="preserve">    ROUND(net_revenue,     2)                                   AS net_revenue,</t>
        </is>
      </c>
    </row>
    <row r="435" ht="14" customHeight="1">
      <c r="A435" s="125" t="inlineStr">
        <is>
          <t xml:space="preserve">    ROUND(net_rev_lag_1w,  2)                                   AS net_rev_1w_ago,</t>
        </is>
      </c>
    </row>
    <row r="436" ht="14" customHeight="1">
      <c r="A436" s="126" t="inlineStr">
        <is>
          <t xml:space="preserve">    CASE WHEN net_rev_lag_1w  &gt; 0</t>
        </is>
      </c>
    </row>
    <row r="437" ht="14" customHeight="1">
      <c r="A437" s="126" t="inlineStr">
        <is>
          <t xml:space="preserve">        THEN ROUND((net_revenue - net_rev_lag_1w)  / net_rev_lag_1w  * 100, 1) END AS net_rev_wow_pct,</t>
        </is>
      </c>
    </row>
    <row r="438" ht="14" customHeight="1">
      <c r="A438" s="126" t="inlineStr">
        <is>
          <t xml:space="preserve">    CASE WHEN net_rev_lag_4w  &gt; 0</t>
        </is>
      </c>
    </row>
    <row r="439" ht="14" customHeight="1">
      <c r="A439" s="126" t="inlineStr">
        <is>
          <t xml:space="preserve">        THEN ROUND((net_revenue - net_rev_lag_4w)  / net_rev_lag_4w  * 100, 1) END AS net_rev_mom_pct,</t>
        </is>
      </c>
    </row>
    <row r="440" ht="14" customHeight="1">
      <c r="A440" s="126" t="inlineStr">
        <is>
          <t xml:space="preserve">    CASE WHEN net_rev_lag_13w &gt; 0</t>
        </is>
      </c>
    </row>
    <row r="441" ht="14" customHeight="1">
      <c r="A441" s="126" t="inlineStr">
        <is>
          <t xml:space="preserve">        THEN ROUND((net_revenue - net_rev_lag_13w) / net_rev_lag_13w * 100, 1) END AS net_rev_qoq_pct,</t>
        </is>
      </c>
    </row>
    <row r="442" ht="14" customHeight="1">
      <c r="A442" s="125" t="inlineStr">
        <is>
          <t xml:space="preserve">    ROUND(cm_per_unit,    2)                                    AS cm_per_unit,</t>
        </is>
      </c>
    </row>
    <row r="443" ht="14" customHeight="1">
      <c r="A443" s="125" t="inlineStr">
        <is>
          <t xml:space="preserve">    ROUND(cm_unit_lag_1w, 2)                                    AS cm_unit_1w_ago,</t>
        </is>
      </c>
    </row>
    <row r="444" ht="14" customHeight="1">
      <c r="A444" s="126" t="inlineStr">
        <is>
          <t xml:space="preserve">    CASE WHEN cm_unit_lag_1w &lt;&gt; 0</t>
        </is>
      </c>
    </row>
    <row r="445" ht="14" customHeight="1">
      <c r="A445" s="126" t="inlineStr">
        <is>
          <t xml:space="preserve">        THEN ROUND((cm_per_unit - cm_unit_lag_1w) / ABS(cm_unit_lag_1w) * 100, 1) END AS cm_unit_wow_pct,</t>
        </is>
      </c>
    </row>
    <row r="446" ht="14" customHeight="1">
      <c r="A446" s="126" t="inlineStr">
        <is>
          <t xml:space="preserve">    CASE WHEN cm_unit_lag_4w &lt;&gt; 0</t>
        </is>
      </c>
    </row>
    <row r="447" ht="14" customHeight="1">
      <c r="A447" s="126" t="inlineStr">
        <is>
          <t xml:space="preserve">        THEN ROUND((cm_per_unit - cm_unit_lag_4w) / ABS(cm_unit_lag_4w) * 100, 1) END AS cm_unit_mom_pct,</t>
        </is>
      </c>
    </row>
    <row r="448" ht="14" customHeight="1">
      <c r="A448" s="125" t="inlineStr">
        <is>
          <t xml:space="preserve">    ROUND(total_cm,           2)                                AS total_cm,</t>
        </is>
      </c>
    </row>
    <row r="449" ht="14" customHeight="1">
      <c r="A449" s="125" t="inlineStr">
        <is>
          <t xml:space="preserve">    ROUND(total_cm_lag_1w,    2)                                AS total_cm_1w_ago,</t>
        </is>
      </c>
    </row>
    <row r="450" ht="14" customHeight="1">
      <c r="A450" s="125" t="inlineStr">
        <is>
          <t xml:space="preserve">    ROUND(total_cm - COALESCE(total_cm_lag_1w,  0), 2)         AS total_cm_wow_delta,</t>
        </is>
      </c>
    </row>
    <row r="451" ht="14" customHeight="1">
      <c r="A451" s="125" t="inlineStr">
        <is>
          <t xml:space="preserve">    ROUND(total_cm - COALESCE(total_cm_lag_13w, 0), 2)         AS total_cm_qoq_delta,</t>
        </is>
      </c>
    </row>
    <row r="452" ht="14" customHeight="1">
      <c r="A452" s="125" t="inlineStr">
        <is>
          <t xml:space="preserve">    ROUND(rolling_4w_avg_rev,      2)                           AS rolling_4w_avg_rev,</t>
        </is>
      </c>
    </row>
    <row r="453" ht="14" customHeight="1">
      <c r="A453" s="125" t="inlineStr">
        <is>
          <t xml:space="preserve">    ROUND(rolling_4w_avg_cm_unit,  2)                           AS rolling_4w_avg_cm_unit,</t>
        </is>
      </c>
    </row>
    <row r="454" ht="14" customHeight="1">
      <c r="A454" s="125" t="inlineStr">
        <is>
          <t xml:space="preserve">    ROUND(cumulative_cm,           2)                           AS cumulative_cm,</t>
        </is>
      </c>
    </row>
    <row r="455" ht="14" customHeight="1">
      <c r="A455" s="125" t="inlineStr">
        <is>
          <t xml:space="preserve">    ROUND(cm_pct * 100,            1)                           AS cm_pct,</t>
        </is>
      </c>
    </row>
    <row r="456" ht="14" customHeight="1">
      <c r="A456" s="126" t="inlineStr">
        <is>
          <t xml:space="preserve">    CASE</t>
        </is>
      </c>
    </row>
    <row r="457" ht="14" customHeight="1">
      <c r="A457" s="126" t="inlineStr">
        <is>
          <t xml:space="preserve">        WHEN period_net_units &lt; 0</t>
        </is>
      </c>
    </row>
    <row r="458" ht="14" customHeight="1">
      <c r="A458" s="126" t="inlineStr">
        <is>
          <t xml:space="preserve">            THEN '🔴 RETURN SHOCK — returns &gt; sales'</t>
        </is>
      </c>
    </row>
    <row r="459" ht="14" customHeight="1">
      <c r="A459" s="126" t="inlineStr">
        <is>
          <t xml:space="preserve">        WHEN net_rev_lag_1w IS NULL</t>
        </is>
      </c>
    </row>
    <row r="460" ht="14" customHeight="1">
      <c r="A460" s="126" t="inlineStr">
        <is>
          <t xml:space="preserve">            THEN '⬜ NO PRIOR DATA'</t>
        </is>
      </c>
    </row>
    <row r="461" ht="14" customHeight="1">
      <c r="A461" s="126" t="inlineStr">
        <is>
          <t xml:space="preserve">        WHEN net_revenue &gt; net_rev_lag_1w * 1.10</t>
        </is>
      </c>
    </row>
    <row r="462" ht="14" customHeight="1">
      <c r="A462" s="126" t="inlineStr">
        <is>
          <t xml:space="preserve">         AND cm_unit_lag_1w IS NOT NULL</t>
        </is>
      </c>
    </row>
    <row r="463" ht="14" customHeight="1">
      <c r="A463" s="126" t="inlineStr">
        <is>
          <t xml:space="preserve">         AND cm_per_unit &gt; cm_unit_lag_1w</t>
        </is>
      </c>
    </row>
    <row r="464" ht="14" customHeight="1">
      <c r="A464" s="126" t="inlineStr">
        <is>
          <t xml:space="preserve">            THEN '📈 STRONG GROWTH — volume + margin up'</t>
        </is>
      </c>
    </row>
    <row r="465" ht="14" customHeight="1">
      <c r="A465" s="126" t="inlineStr">
        <is>
          <t xml:space="preserve">        WHEN net_revenue &gt; net_rev_lag_1w</t>
        </is>
      </c>
    </row>
    <row r="466" ht="14" customHeight="1">
      <c r="A466" s="126" t="inlineStr">
        <is>
          <t xml:space="preserve">            THEN '📊 GROWING — volume up'</t>
        </is>
      </c>
    </row>
    <row r="467" ht="14" customHeight="1">
      <c r="A467" s="126" t="inlineStr">
        <is>
          <t xml:space="preserve">        WHEN net_revenue &lt; net_rev_lag_1w * 0.80</t>
        </is>
      </c>
    </row>
    <row r="468" ht="14" customHeight="1">
      <c r="A468" s="126" t="inlineStr">
        <is>
          <t xml:space="preserve">         AND cm_unit_lag_1w IS NOT NULL</t>
        </is>
      </c>
    </row>
    <row r="469" ht="14" customHeight="1">
      <c r="A469" s="126" t="inlineStr">
        <is>
          <t xml:space="preserve">         AND cm_per_unit &lt; cm_unit_lag_1w</t>
        </is>
      </c>
    </row>
    <row r="470" ht="14" customHeight="1">
      <c r="A470" s="126" t="inlineStr">
        <is>
          <t xml:space="preserve">            THEN '📉 SHARP DECLINE — volume + margin down'</t>
        </is>
      </c>
    </row>
    <row r="471" ht="14" customHeight="1">
      <c r="A471" s="126" t="inlineStr">
        <is>
          <t xml:space="preserve">        WHEN net_revenue &lt; net_rev_lag_1w</t>
        </is>
      </c>
    </row>
    <row r="472" ht="14" customHeight="1">
      <c r="A472" s="126" t="inlineStr">
        <is>
          <t xml:space="preserve">            THEN '⚠ DECLINING — volume down'</t>
        </is>
      </c>
    </row>
    <row r="473" ht="14" customHeight="1">
      <c r="A473" s="126" t="inlineStr">
        <is>
          <t xml:space="preserve">        ELSE '➡ STABLE'</t>
        </is>
      </c>
    </row>
    <row r="474" ht="14" customHeight="1">
      <c r="A474" s="126" t="inlineStr">
        <is>
          <t xml:space="preserve">    END                                                         AS momentum_signal</t>
        </is>
      </c>
    </row>
    <row r="475" ht="14" customHeight="1">
      <c r="A475" s="126" t="inlineStr">
        <is>
          <t>FROM lagged</t>
        </is>
      </c>
    </row>
    <row r="476" ht="14" customHeight="1">
      <c r="A476" s="126" t="inlineStr">
        <is>
          <t>WHERE week_start &gt;= CURRENT_DATE - INTERVAL '13 weeks'</t>
        </is>
      </c>
    </row>
    <row r="477" ht="14" customHeight="1">
      <c r="A477" s="126" t="inlineStr">
        <is>
          <t>ORDER BY sku_id, channel, week_start DESC;</t>
        </is>
      </c>
    </row>
    <row r="478" ht="14" customHeight="1">
      <c r="A478" s="125" t="inlineStr"/>
    </row>
    <row r="479" ht="10" customHeight="1"/>
    <row r="480" ht="24" customHeight="1">
      <c r="A480" s="119" t="inlineStr">
        <is>
          <t xml:space="preserve">  Q5 — Channel P&amp;L Summary View (v4.2 Dual-Lens)</t>
        </is>
      </c>
    </row>
    <row r="481" ht="32" customHeight="1">
      <c r="A481" s="120" t="inlineStr">
        <is>
          <t>Purpose</t>
        </is>
      </c>
      <c r="B481" s="121" t="inlineStr">
        <is>
          <t>Reusable monthly channel P&amp;L view with dual-lens accounting. Net revenue includes shipping income. Idempotent via CREATE OR REPLACE VIEW.</t>
        </is>
      </c>
    </row>
    <row r="482" ht="16" customHeight="1">
      <c r="A482" s="120" t="inlineStr">
        <is>
          <t>Tags</t>
        </is>
      </c>
      <c r="B482" s="122" t="inlineStr">
        <is>
          <t>View | Reusable | Channel P&amp;L | Idempotent | Dual-Lens</t>
        </is>
      </c>
    </row>
    <row r="483" ht="16" customHeight="1">
      <c r="A483" s="123" t="inlineStr">
        <is>
          <t>SQL</t>
        </is>
      </c>
    </row>
    <row r="484" ht="14" customHeight="1">
      <c r="A484" s="124" t="inlineStr">
        <is>
          <t>-- ============================================================</t>
        </is>
      </c>
    </row>
    <row r="485" ht="14" customHeight="1">
      <c r="A485" s="124" t="inlineStr">
        <is>
          <t>-- Q5: Channel P&amp;L Summary View (v4.2 Dual-Lens)</t>
        </is>
      </c>
    </row>
    <row r="486" ht="14" customHeight="1">
      <c r="A486" s="124" t="inlineStr">
        <is>
          <t>-- DUAL-LENS:</t>
        </is>
      </c>
    </row>
    <row r="487" ht="14" customHeight="1">
      <c r="A487" s="124" t="inlineStr">
        <is>
          <t>--   econ_units  = GREATEST(units_sold - return_units, 0)</t>
        </is>
      </c>
    </row>
    <row r="488" ht="14" customHeight="1">
      <c r="A488" s="124" t="inlineStr">
        <is>
          <t>--   net_revenue = econ_units × net_price_ex_vat + shipping_income</t>
        </is>
      </c>
    </row>
    <row r="489" ht="14" customHeight="1">
      <c r="A489" s="124" t="inlineStr">
        <is>
          <t>--   Channel fees applied to econ_units</t>
        </is>
      </c>
    </row>
    <row r="490" ht="14" customHeight="1">
      <c r="A490" s="124" t="inlineStr">
        <is>
          <t>-- CREATE OR REPLACE = idempotent</t>
        </is>
      </c>
    </row>
    <row r="491" ht="14" customHeight="1">
      <c r="A491" s="124" t="inlineStr">
        <is>
          <t>-- ============================================================</t>
        </is>
      </c>
    </row>
    <row r="492" ht="14" customHeight="1">
      <c r="A492" s="125" t="inlineStr"/>
    </row>
    <row r="493" ht="14" customHeight="1">
      <c r="A493" s="126" t="inlineStr">
        <is>
          <t>CREATE OR REPLACE VIEW margin_intelligence.v_channel_pnl_summary AS</t>
        </is>
      </c>
    </row>
    <row r="494" ht="14" customHeight="1">
      <c r="A494" s="125" t="inlineStr"/>
    </row>
    <row r="495" ht="14" customHeight="1">
      <c r="A495" s="126" t="inlineStr">
        <is>
          <t>WITH order_metrics AS (</t>
        </is>
      </c>
    </row>
    <row r="496" ht="14" customHeight="1">
      <c r="A496" s="126" t="inlineStr">
        <is>
          <t xml:space="preserve">    SELECT</t>
        </is>
      </c>
    </row>
    <row r="497" ht="14" customHeight="1">
      <c r="A497" s="125" t="inlineStr">
        <is>
          <t xml:space="preserve">        o.channel,</t>
        </is>
      </c>
    </row>
    <row r="498" ht="14" customHeight="1">
      <c r="A498" s="125" t="inlineStr">
        <is>
          <t xml:space="preserve">        DATE_TRUNC('month', o.order_date)                       AS month,</t>
        </is>
      </c>
    </row>
    <row r="499" ht="14" customHeight="1">
      <c r="A499" s="125" t="inlineStr">
        <is>
          <t xml:space="preserve">        COUNT(DISTINCT o.sku_id)                                AS active_skus,</t>
        </is>
      </c>
    </row>
    <row r="500" ht="14" customHeight="1">
      <c r="A500" s="125" t="inlineStr">
        <is>
          <t xml:space="preserve">        SUM(o.units_sold)                                       AS total_units_sold,</t>
        </is>
      </c>
    </row>
    <row r="501" ht="14" customHeight="1">
      <c r="A501" s="125" t="inlineStr">
        <is>
          <t xml:space="preserve">        SUM(o.return_units)                                     AS total_return_units,</t>
        </is>
      </c>
    </row>
    <row r="502" ht="14" customHeight="1">
      <c r="A502" s="125" t="inlineStr">
        <is>
          <t xml:space="preserve">        SUM(o.units_sold - o.return_units)                      AS total_period_net_units,</t>
        </is>
      </c>
    </row>
    <row r="503" ht="14" customHeight="1">
      <c r="A503" s="125" t="inlineStr">
        <is>
          <t xml:space="preserve">        SUM(GREATEST(o.units_sold - o.return_units, 0))         AS total_econ_units,</t>
        </is>
      </c>
    </row>
    <row r="504" ht="14" customHeight="1">
      <c r="A504" s="125" t="inlineStr">
        <is>
          <t xml:space="preserve">        SUM(o.units_sold * o.net_price_ex_vat)                  AS gross_revenue,</t>
        </is>
      </c>
    </row>
    <row r="505" ht="14" customHeight="1">
      <c r="A505" s="125" t="inlineStr">
        <is>
          <t xml:space="preserve">        SUM(</t>
        </is>
      </c>
    </row>
    <row r="506" ht="14" customHeight="1">
      <c r="A506" s="125" t="inlineStr">
        <is>
          <t xml:space="preserve">            GREATEST(o.units_sold - o.return_units, 0) * o.net_price_ex_vat</t>
        </is>
      </c>
    </row>
    <row r="507" ht="14" customHeight="1">
      <c r="A507" s="125" t="inlineStr">
        <is>
          <t xml:space="preserve">            + COALESCE(o.shipping_income, 0)</t>
        </is>
      </c>
    </row>
    <row r="508" ht="14" customHeight="1">
      <c r="A508" s="125" t="inlineStr">
        <is>
          <t xml:space="preserve">        )                                                       AS net_revenue,</t>
        </is>
      </c>
    </row>
    <row r="509" ht="14" customHeight="1">
      <c r="A509" s="125" t="inlineStr">
        <is>
          <t xml:space="preserve">        SUM(</t>
        </is>
      </c>
    </row>
    <row r="510" ht="14" customHeight="1">
      <c r="A510" s="125" t="inlineStr">
        <is>
          <t xml:space="preserve">            o.units_sold * (s.cogs + s.packaging_cost + s.inbound_freight)</t>
        </is>
      </c>
    </row>
    <row r="511" ht="14" customHeight="1">
      <c r="A511" s="125" t="inlineStr">
        <is>
          <t xml:space="preserve">            + GREATEST(o.units_sold - o.return_units, 0) * (</t>
        </is>
      </c>
    </row>
    <row r="512" ht="14" customHeight="1">
      <c r="A512" s="125" t="inlineStr">
        <is>
          <t xml:space="preserve">                c.referral_fee_pct         * o.net_price_ex_vat</t>
        </is>
      </c>
    </row>
    <row r="513" ht="14" customHeight="1">
      <c r="A513" s="125" t="inlineStr">
        <is>
          <t xml:space="preserve">                + c.fulfilment_fee_per_unit</t>
        </is>
      </c>
    </row>
    <row r="514" ht="14" customHeight="1">
      <c r="A514" s="125" t="inlineStr">
        <is>
          <t xml:space="preserve">                + c.shipping_fee_per_unit</t>
        </is>
      </c>
    </row>
    <row r="515" ht="14" customHeight="1">
      <c r="A515" s="125" t="inlineStr">
        <is>
          <t xml:space="preserve">                + c.ads_pct                * o.net_price_ex_vat</t>
        </is>
      </c>
    </row>
    <row r="516" ht="14" customHeight="1">
      <c r="A516" s="125" t="inlineStr">
        <is>
          <t xml:space="preserve">                + c.payment_gateway_pct    * o.net_price_ex_vat</t>
        </is>
      </c>
    </row>
    <row r="517" ht="14" customHeight="1">
      <c r="A517" s="125" t="inlineStr">
        <is>
          <t xml:space="preserve">            )</t>
        </is>
      </c>
    </row>
    <row r="518" ht="14" customHeight="1">
      <c r="A518" s="125" t="inlineStr">
        <is>
          <t xml:space="preserve">            + o.return_units * c.return_processing_fee</t>
        </is>
      </c>
    </row>
    <row r="519" ht="14" customHeight="1">
      <c r="A519" s="125" t="inlineStr">
        <is>
          <t xml:space="preserve">        )                                                       AS total_variable_cost,</t>
        </is>
      </c>
    </row>
    <row r="520" ht="14" customHeight="1">
      <c r="A520" s="125" t="inlineStr">
        <is>
          <t xml:space="preserve">        AVG(o.discount_pct)                                     AS avg_discount_pct,</t>
        </is>
      </c>
    </row>
    <row r="521" ht="14" customHeight="1">
      <c r="A521" s="125" t="inlineStr">
        <is>
          <t xml:space="preserve">        c.payout_days</t>
        </is>
      </c>
    </row>
    <row r="522" ht="14" customHeight="1">
      <c r="A522" s="126" t="inlineStr">
        <is>
          <t xml:space="preserve">    FROM  margin_intelligence.sales_orders   o</t>
        </is>
      </c>
    </row>
    <row r="523" ht="14" customHeight="1">
      <c r="A523" s="126" t="inlineStr">
        <is>
          <t xml:space="preserve">    JOIN  margin_intelligence.sku_master     s  ON s.sku_id  = o.sku_id</t>
        </is>
      </c>
    </row>
    <row r="524" ht="14" customHeight="1">
      <c r="A524" s="126" t="inlineStr">
        <is>
          <t xml:space="preserve">    JOIN  margin_intelligence.channel_costs  c  ON c.channel = o.channel</t>
        </is>
      </c>
    </row>
    <row r="525" ht="14" customHeight="1">
      <c r="A525" s="126" t="inlineStr">
        <is>
          <t xml:space="preserve">    GROUP BY o.channel, DATE_TRUNC('month', o.order_date), c.payout_days</t>
        </is>
      </c>
    </row>
    <row r="526" ht="14" customHeight="1">
      <c r="A526" s="125" t="inlineStr">
        <is>
          <t>)</t>
        </is>
      </c>
    </row>
    <row r="527" ht="14" customHeight="1">
      <c r="A527" s="125" t="inlineStr"/>
    </row>
    <row r="528" ht="14" customHeight="1">
      <c r="A528" s="126" t="inlineStr">
        <is>
          <t>SELECT</t>
        </is>
      </c>
    </row>
    <row r="529" ht="14" customHeight="1">
      <c r="A529" s="125" t="inlineStr">
        <is>
          <t xml:space="preserve">    channel,</t>
        </is>
      </c>
    </row>
    <row r="530" ht="14" customHeight="1">
      <c r="A530" s="125" t="inlineStr">
        <is>
          <t xml:space="preserve">    month,</t>
        </is>
      </c>
    </row>
    <row r="531" ht="14" customHeight="1">
      <c r="A531" s="125" t="inlineStr">
        <is>
          <t xml:space="preserve">    active_skus,</t>
        </is>
      </c>
    </row>
    <row r="532" ht="14" customHeight="1">
      <c r="A532" s="125" t="inlineStr">
        <is>
          <t xml:space="preserve">    total_units_sold,</t>
        </is>
      </c>
    </row>
    <row r="533" ht="14" customHeight="1">
      <c r="A533" s="125" t="inlineStr">
        <is>
          <t xml:space="preserve">    total_return_units,</t>
        </is>
      </c>
    </row>
    <row r="534" ht="14" customHeight="1">
      <c r="A534" s="125" t="inlineStr">
        <is>
          <t xml:space="preserve">    total_period_net_units,</t>
        </is>
      </c>
    </row>
    <row r="535" ht="14" customHeight="1">
      <c r="A535" s="125" t="inlineStr">
        <is>
          <t xml:space="preserve">    total_econ_units,</t>
        </is>
      </c>
    </row>
    <row r="536" ht="14" customHeight="1">
      <c r="A536" s="125" t="inlineStr">
        <is>
          <t xml:space="preserve">    ROUND(total_return_units::NUMERIC / NULLIF(total_units_sold,0) * 100, 1) AS actual_return_rate_pct,</t>
        </is>
      </c>
    </row>
    <row r="537" ht="14" customHeight="1">
      <c r="A537" s="125" t="inlineStr">
        <is>
          <t xml:space="preserve">    ROUND(gross_revenue,                2)                      AS gross_revenue,</t>
        </is>
      </c>
    </row>
    <row r="538" ht="14" customHeight="1">
      <c r="A538" s="125" t="inlineStr">
        <is>
          <t xml:space="preserve">    ROUND(net_revenue,                  2)                      AS net_revenue,</t>
        </is>
      </c>
    </row>
    <row r="539" ht="14" customHeight="1">
      <c r="A539" s="125" t="inlineStr">
        <is>
          <t xml:space="preserve">    ROUND(total_variable_cost,          2)                      AS total_variable_cost,</t>
        </is>
      </c>
    </row>
    <row r="540" ht="14" customHeight="1">
      <c r="A540" s="125" t="inlineStr">
        <is>
          <t xml:space="preserve">    ROUND(net_revenue - total_variable_cost, 2)                 AS total_cm,</t>
        </is>
      </c>
    </row>
    <row r="541" ht="14" customHeight="1">
      <c r="A541" s="126" t="inlineStr">
        <is>
          <t xml:space="preserve">    CASE WHEN net_revenue &gt; 0</t>
        </is>
      </c>
    </row>
    <row r="542" ht="14" customHeight="1">
      <c r="A542" s="126" t="inlineStr">
        <is>
          <t xml:space="preserve">        THEN ROUND((net_revenue - total_variable_cost) / net_revenue * 100, 1)</t>
        </is>
      </c>
    </row>
    <row r="543" ht="14" customHeight="1">
      <c r="A543" s="126" t="inlineStr">
        <is>
          <t xml:space="preserve">    END                                                         AS cm_pct,</t>
        </is>
      </c>
    </row>
    <row r="544" ht="14" customHeight="1">
      <c r="A544" s="125" t="inlineStr">
        <is>
          <t xml:space="preserve">    ROUND(avg_discount_pct * 100, 1)                            AS avg_discount_pct,</t>
        </is>
      </c>
    </row>
    <row r="545" ht="14" customHeight="1">
      <c r="A545" s="125" t="inlineStr">
        <is>
          <t xml:space="preserve">    payout_days,</t>
        </is>
      </c>
    </row>
    <row r="546" ht="14" customHeight="1">
      <c r="A546" s="125" t="inlineStr">
        <is>
          <t xml:space="preserve">    ROUND(net_revenue / 30.0 * payout_days, 2)                  AS est_float_exposure,</t>
        </is>
      </c>
    </row>
    <row r="547" ht="14" customHeight="1">
      <c r="A547" s="126" t="inlineStr">
        <is>
          <t xml:space="preserve">    CASE</t>
        </is>
      </c>
    </row>
    <row r="548" ht="14" customHeight="1">
      <c r="A548" s="126" t="inlineStr">
        <is>
          <t xml:space="preserve">        WHEN total_period_net_units &lt; 0 THEN '🔴 RETURN SHOCK DETECTED'</t>
        </is>
      </c>
    </row>
    <row r="549" ht="14" customHeight="1">
      <c r="A549" s="126" t="inlineStr">
        <is>
          <t xml:space="preserve">        ELSE NULL</t>
        </is>
      </c>
    </row>
    <row r="550" ht="14" customHeight="1">
      <c r="A550" s="126" t="inlineStr">
        <is>
          <t xml:space="preserve">    END                                                         AS return_shock_flag</t>
        </is>
      </c>
    </row>
    <row r="551" ht="14" customHeight="1">
      <c r="A551" s="126" t="inlineStr">
        <is>
          <t>FROM  order_metrics</t>
        </is>
      </c>
    </row>
    <row r="552" ht="14" customHeight="1">
      <c r="A552" s="126" t="inlineStr">
        <is>
          <t>ORDER BY month DESC, channel;</t>
        </is>
      </c>
    </row>
    <row r="553" ht="14" customHeight="1">
      <c r="A553" s="125" t="inlineStr"/>
    </row>
    <row r="554" ht="10" customHeight="1"/>
  </sheetData>
  <mergeCells count="539">
    <mergeCell ref="A412:B412"/>
    <mergeCell ref="A534:B534"/>
    <mergeCell ref="A64:B64"/>
    <mergeCell ref="A186:B186"/>
    <mergeCell ref="A15:B15"/>
    <mergeCell ref="A191:B191"/>
    <mergeCell ref="A257:B257"/>
    <mergeCell ref="A51:B51"/>
    <mergeCell ref="A107:B107"/>
    <mergeCell ref="A549:B549"/>
    <mergeCell ref="A178:B178"/>
    <mergeCell ref="A349:B349"/>
    <mergeCell ref="A476:B476"/>
    <mergeCell ref="A536:B536"/>
    <mergeCell ref="A315:B315"/>
    <mergeCell ref="A486:B486"/>
    <mergeCell ref="A478:B478"/>
    <mergeCell ref="A347:B347"/>
    <mergeCell ref="A438:B438"/>
    <mergeCell ref="A267:B267"/>
    <mergeCell ref="A425:B425"/>
    <mergeCell ref="A33:B33"/>
    <mergeCell ref="A204:B204"/>
    <mergeCell ref="A269:B269"/>
    <mergeCell ref="A440:B440"/>
    <mergeCell ref="A489:B489"/>
    <mergeCell ref="A231:B231"/>
    <mergeCell ref="A35:B35"/>
    <mergeCell ref="A206:B206"/>
    <mergeCell ref="A62:B62"/>
    <mergeCell ref="A262:B262"/>
    <mergeCell ref="A333:B333"/>
    <mergeCell ref="A504:B504"/>
    <mergeCell ref="A491:B491"/>
    <mergeCell ref="A28:B28"/>
    <mergeCell ref="A506:B506"/>
    <mergeCell ref="A362:B362"/>
    <mergeCell ref="A245:B245"/>
    <mergeCell ref="A39:B39"/>
    <mergeCell ref="A337:B337"/>
    <mergeCell ref="A30:B30"/>
    <mergeCell ref="A59:B59"/>
    <mergeCell ref="A339:B339"/>
    <mergeCell ref="A61:B61"/>
    <mergeCell ref="A359:B359"/>
    <mergeCell ref="A153:B153"/>
    <mergeCell ref="A128:B128"/>
    <mergeCell ref="A426:B426"/>
    <mergeCell ref="A364:B364"/>
    <mergeCell ref="A413:B413"/>
    <mergeCell ref="A217:B217"/>
    <mergeCell ref="A484:B484"/>
    <mergeCell ref="A136:B136"/>
    <mergeCell ref="A192:B192"/>
    <mergeCell ref="A428:B428"/>
    <mergeCell ref="A415:B415"/>
    <mergeCell ref="A129:B129"/>
    <mergeCell ref="A194:B194"/>
    <mergeCell ref="A127:B127"/>
    <mergeCell ref="A181:B181"/>
    <mergeCell ref="A131:B131"/>
    <mergeCell ref="A52:B52"/>
    <mergeCell ref="A494:B494"/>
    <mergeCell ref="A510:B510"/>
    <mergeCell ref="A352:B352"/>
    <mergeCell ref="A34:B34"/>
    <mergeCell ref="A83:B83"/>
    <mergeCell ref="A143:B143"/>
    <mergeCell ref="A276:B276"/>
    <mergeCell ref="A270:B270"/>
    <mergeCell ref="A441:B441"/>
    <mergeCell ref="A368:B368"/>
    <mergeCell ref="A49:B49"/>
    <mergeCell ref="A36:B36"/>
    <mergeCell ref="A207:B207"/>
    <mergeCell ref="A334:B334"/>
    <mergeCell ref="A1:B1"/>
    <mergeCell ref="A383:B383"/>
    <mergeCell ref="A505:B505"/>
    <mergeCell ref="A370:B370"/>
    <mergeCell ref="A78:B78"/>
    <mergeCell ref="A271:B271"/>
    <mergeCell ref="A205:B205"/>
    <mergeCell ref="A65:B65"/>
    <mergeCell ref="A507:B507"/>
    <mergeCell ref="A363:B363"/>
    <mergeCell ref="A80:B80"/>
    <mergeCell ref="A273:B273"/>
    <mergeCell ref="A378:B378"/>
    <mergeCell ref="A55:B55"/>
    <mergeCell ref="A365:B365"/>
    <mergeCell ref="A200:B200"/>
    <mergeCell ref="A436:B436"/>
    <mergeCell ref="A156:B156"/>
    <mergeCell ref="A454:B454"/>
    <mergeCell ref="A525:B525"/>
    <mergeCell ref="A202:B202"/>
    <mergeCell ref="A258:B258"/>
    <mergeCell ref="A500:B500"/>
    <mergeCell ref="A220:B220"/>
    <mergeCell ref="A518:B518"/>
    <mergeCell ref="A24:B24"/>
    <mergeCell ref="A266:B266"/>
    <mergeCell ref="A437:B437"/>
    <mergeCell ref="A260:B260"/>
    <mergeCell ref="A60:B60"/>
    <mergeCell ref="A431:B431"/>
    <mergeCell ref="A502:B502"/>
    <mergeCell ref="A358:B358"/>
    <mergeCell ref="A520:B520"/>
    <mergeCell ref="A197:B197"/>
    <mergeCell ref="A124:B124"/>
    <mergeCell ref="A422:B422"/>
    <mergeCell ref="A360:B360"/>
    <mergeCell ref="A84:B84"/>
    <mergeCell ref="A149:B149"/>
    <mergeCell ref="A447:B447"/>
    <mergeCell ref="A385:B385"/>
    <mergeCell ref="A50:B50"/>
    <mergeCell ref="A434:B434"/>
    <mergeCell ref="A86:B86"/>
    <mergeCell ref="A213:B213"/>
    <mergeCell ref="A384:B384"/>
    <mergeCell ref="A151:B151"/>
    <mergeCell ref="A515:B515"/>
    <mergeCell ref="A449:B449"/>
    <mergeCell ref="A150:B150"/>
    <mergeCell ref="A321:B321"/>
    <mergeCell ref="A144:B144"/>
    <mergeCell ref="A215:B215"/>
    <mergeCell ref="A386:B386"/>
    <mergeCell ref="A513:B513"/>
    <mergeCell ref="A373:B373"/>
    <mergeCell ref="A81:B81"/>
    <mergeCell ref="A152:B152"/>
    <mergeCell ref="A323:B323"/>
    <mergeCell ref="A450:B450"/>
    <mergeCell ref="A289:B289"/>
    <mergeCell ref="A226:B226"/>
    <mergeCell ref="A291:B291"/>
    <mergeCell ref="A462:B462"/>
    <mergeCell ref="A70:B70"/>
    <mergeCell ref="A241:B241"/>
    <mergeCell ref="A355:B355"/>
    <mergeCell ref="A526:B526"/>
    <mergeCell ref="A7:B7"/>
    <mergeCell ref="A501:B501"/>
    <mergeCell ref="A172:B172"/>
    <mergeCell ref="A305:B305"/>
    <mergeCell ref="A243:B243"/>
    <mergeCell ref="A99:B99"/>
    <mergeCell ref="A292:B292"/>
    <mergeCell ref="A397:B397"/>
    <mergeCell ref="A286:B286"/>
    <mergeCell ref="A528:B528"/>
    <mergeCell ref="A74:B74"/>
    <mergeCell ref="A236:B236"/>
    <mergeCell ref="A503:B503"/>
    <mergeCell ref="A163:B163"/>
    <mergeCell ref="A294:B294"/>
    <mergeCell ref="A76:B76"/>
    <mergeCell ref="A374:B374"/>
    <mergeCell ref="A361:B361"/>
    <mergeCell ref="A140:B140"/>
    <mergeCell ref="A311:B311"/>
    <mergeCell ref="A392:B392"/>
    <mergeCell ref="A475:B475"/>
    <mergeCell ref="A521:B521"/>
    <mergeCell ref="A539:B539"/>
    <mergeCell ref="A45:B45"/>
    <mergeCell ref="A216:B216"/>
    <mergeCell ref="A287:B287"/>
    <mergeCell ref="A387:B387"/>
    <mergeCell ref="A458:B458"/>
    <mergeCell ref="A281:B281"/>
    <mergeCell ref="A452:B452"/>
    <mergeCell ref="A523:B523"/>
    <mergeCell ref="A87:B87"/>
    <mergeCell ref="A218:B218"/>
    <mergeCell ref="A345:B345"/>
    <mergeCell ref="A316:B316"/>
    <mergeCell ref="A516:B516"/>
    <mergeCell ref="A46:B46"/>
    <mergeCell ref="A89:B89"/>
    <mergeCell ref="A282:B282"/>
    <mergeCell ref="A453:B453"/>
    <mergeCell ref="A105:B105"/>
    <mergeCell ref="A376:B376"/>
    <mergeCell ref="A26:B26"/>
    <mergeCell ref="A468:B468"/>
    <mergeCell ref="A71:B71"/>
    <mergeCell ref="A242:B242"/>
    <mergeCell ref="A313:B313"/>
    <mergeCell ref="A307:B307"/>
    <mergeCell ref="A234:B234"/>
    <mergeCell ref="A405:B405"/>
    <mergeCell ref="A8:B8"/>
    <mergeCell ref="A184:B184"/>
    <mergeCell ref="A244:B244"/>
    <mergeCell ref="A100:B100"/>
    <mergeCell ref="A371:B371"/>
    <mergeCell ref="A171:B171"/>
    <mergeCell ref="A342:B342"/>
    <mergeCell ref="A542:B542"/>
    <mergeCell ref="A165:B165"/>
    <mergeCell ref="A336:B336"/>
    <mergeCell ref="A407:B407"/>
    <mergeCell ref="A529:B529"/>
    <mergeCell ref="A10:B10"/>
    <mergeCell ref="A115:B115"/>
    <mergeCell ref="A308:B308"/>
    <mergeCell ref="A102:B102"/>
    <mergeCell ref="A544:B544"/>
    <mergeCell ref="A173:B173"/>
    <mergeCell ref="A229:B229"/>
    <mergeCell ref="A400:B400"/>
    <mergeCell ref="A471:B471"/>
    <mergeCell ref="A77:B77"/>
    <mergeCell ref="A310:B310"/>
    <mergeCell ref="A166:B166"/>
    <mergeCell ref="A402:B402"/>
    <mergeCell ref="A168:B168"/>
    <mergeCell ref="A547:B547"/>
    <mergeCell ref="A255:B255"/>
    <mergeCell ref="A522:B522"/>
    <mergeCell ref="A326:B326"/>
    <mergeCell ref="A497:B497"/>
    <mergeCell ref="A120:B120"/>
    <mergeCell ref="A3:B3"/>
    <mergeCell ref="A301:B301"/>
    <mergeCell ref="A239:B239"/>
    <mergeCell ref="A21:B21"/>
    <mergeCell ref="A57:B57"/>
    <mergeCell ref="A113:B113"/>
    <mergeCell ref="A499:B499"/>
    <mergeCell ref="A524:B524"/>
    <mergeCell ref="A32:B32"/>
    <mergeCell ref="A303:B303"/>
    <mergeCell ref="A219:B219"/>
    <mergeCell ref="A23:B23"/>
    <mergeCell ref="A290:B290"/>
    <mergeCell ref="A96:B96"/>
    <mergeCell ref="A332:B332"/>
    <mergeCell ref="A123:B123"/>
    <mergeCell ref="A250:B250"/>
    <mergeCell ref="A492:B492"/>
    <mergeCell ref="A110:B110"/>
    <mergeCell ref="A552:B552"/>
    <mergeCell ref="A237:B237"/>
    <mergeCell ref="A408:B408"/>
    <mergeCell ref="A535:B535"/>
    <mergeCell ref="A473:B473"/>
    <mergeCell ref="A16:B16"/>
    <mergeCell ref="A187:B187"/>
    <mergeCell ref="A485:B485"/>
    <mergeCell ref="A423:B423"/>
    <mergeCell ref="A174:B174"/>
    <mergeCell ref="A108:B108"/>
    <mergeCell ref="A472:B472"/>
    <mergeCell ref="A410:B410"/>
    <mergeCell ref="A537:B537"/>
    <mergeCell ref="A118:B118"/>
    <mergeCell ref="A18:B18"/>
    <mergeCell ref="A189:B189"/>
    <mergeCell ref="A487:B487"/>
    <mergeCell ref="A238:B238"/>
    <mergeCell ref="A474:B474"/>
    <mergeCell ref="A47:B47"/>
    <mergeCell ref="A263:B263"/>
    <mergeCell ref="A29:B29"/>
    <mergeCell ref="A134:B134"/>
    <mergeCell ref="A265:B265"/>
    <mergeCell ref="A121:B121"/>
    <mergeCell ref="A357:B357"/>
    <mergeCell ref="A44:B44"/>
    <mergeCell ref="A550:B550"/>
    <mergeCell ref="A31:B31"/>
    <mergeCell ref="A58:B58"/>
    <mergeCell ref="A329:B329"/>
    <mergeCell ref="A421:B421"/>
    <mergeCell ref="A304:B304"/>
    <mergeCell ref="A98:B98"/>
    <mergeCell ref="A73:B73"/>
    <mergeCell ref="A540:B540"/>
    <mergeCell ref="A396:B396"/>
    <mergeCell ref="A527:B527"/>
    <mergeCell ref="A162:B162"/>
    <mergeCell ref="A398:B398"/>
    <mergeCell ref="A164:B164"/>
    <mergeCell ref="A335:B335"/>
    <mergeCell ref="A543:B543"/>
    <mergeCell ref="A195:B195"/>
    <mergeCell ref="A251:B251"/>
    <mergeCell ref="A553:B553"/>
    <mergeCell ref="A42:B42"/>
    <mergeCell ref="A309:B309"/>
    <mergeCell ref="A545:B545"/>
    <mergeCell ref="A17:B17"/>
    <mergeCell ref="A188:B188"/>
    <mergeCell ref="A126:B126"/>
    <mergeCell ref="A259:B259"/>
    <mergeCell ref="A253:B253"/>
    <mergeCell ref="A53:B53"/>
    <mergeCell ref="A495:B495"/>
    <mergeCell ref="A424:B424"/>
    <mergeCell ref="A109:B109"/>
    <mergeCell ref="A324:B324"/>
    <mergeCell ref="A240:B240"/>
    <mergeCell ref="A411:B411"/>
    <mergeCell ref="A538:B538"/>
    <mergeCell ref="A19:B19"/>
    <mergeCell ref="A68:B68"/>
    <mergeCell ref="A190:B190"/>
    <mergeCell ref="A117:B117"/>
    <mergeCell ref="A111:B111"/>
    <mergeCell ref="A353:B353"/>
    <mergeCell ref="A48:B48"/>
    <mergeCell ref="A319:B319"/>
    <mergeCell ref="A490:B490"/>
    <mergeCell ref="A477:B477"/>
    <mergeCell ref="A142:B142"/>
    <mergeCell ref="A79:B79"/>
    <mergeCell ref="A442:B442"/>
    <mergeCell ref="A429:B429"/>
    <mergeCell ref="A137:B137"/>
    <mergeCell ref="A37:B37"/>
    <mergeCell ref="A208:B208"/>
    <mergeCell ref="A268:B268"/>
    <mergeCell ref="A330:B330"/>
    <mergeCell ref="A379:B379"/>
    <mergeCell ref="A366:B366"/>
    <mergeCell ref="A493:B493"/>
    <mergeCell ref="A145:B145"/>
    <mergeCell ref="A139:B139"/>
    <mergeCell ref="A272:B272"/>
    <mergeCell ref="A210:B210"/>
    <mergeCell ref="A381:B381"/>
    <mergeCell ref="A443:B443"/>
    <mergeCell ref="A203:B203"/>
    <mergeCell ref="A63:B63"/>
    <mergeCell ref="A261:B261"/>
    <mergeCell ref="A92:B92"/>
    <mergeCell ref="A279:B279"/>
    <mergeCell ref="A546:B546"/>
    <mergeCell ref="A350:B350"/>
    <mergeCell ref="A325:B325"/>
    <mergeCell ref="A300:B300"/>
    <mergeCell ref="A496:B496"/>
    <mergeCell ref="A119:B119"/>
    <mergeCell ref="A94:B94"/>
    <mergeCell ref="A417:B417"/>
    <mergeCell ref="A548:B548"/>
    <mergeCell ref="A69:B69"/>
    <mergeCell ref="A367:B367"/>
    <mergeCell ref="A256:B256"/>
    <mergeCell ref="A427:B427"/>
    <mergeCell ref="A498:B498"/>
    <mergeCell ref="A183:B183"/>
    <mergeCell ref="A354:B354"/>
    <mergeCell ref="A419:B419"/>
    <mergeCell ref="A133:B133"/>
    <mergeCell ref="A193:B193"/>
    <mergeCell ref="A264:B264"/>
    <mergeCell ref="A369:B369"/>
    <mergeCell ref="A418:B418"/>
    <mergeCell ref="A356:B356"/>
    <mergeCell ref="A514:B514"/>
    <mergeCell ref="A38:B38"/>
    <mergeCell ref="A209:B209"/>
    <mergeCell ref="A147:B147"/>
    <mergeCell ref="A280:B280"/>
    <mergeCell ref="A380:B380"/>
    <mergeCell ref="A274:B274"/>
    <mergeCell ref="A445:B445"/>
    <mergeCell ref="A451:B451"/>
    <mergeCell ref="A372:B372"/>
    <mergeCell ref="A432:B432"/>
    <mergeCell ref="A40:B40"/>
    <mergeCell ref="A211:B211"/>
    <mergeCell ref="A67:B67"/>
    <mergeCell ref="A338:B338"/>
    <mergeCell ref="A382:B382"/>
    <mergeCell ref="A509:B509"/>
    <mergeCell ref="A148:B148"/>
    <mergeCell ref="A82:B82"/>
    <mergeCell ref="A275:B275"/>
    <mergeCell ref="A446:B446"/>
    <mergeCell ref="A340:B340"/>
    <mergeCell ref="A511:B511"/>
    <mergeCell ref="A146:B146"/>
    <mergeCell ref="A6:B6"/>
    <mergeCell ref="A252:B252"/>
    <mergeCell ref="A66:B66"/>
    <mergeCell ref="A158:B158"/>
    <mergeCell ref="A351:B351"/>
    <mergeCell ref="A95:B95"/>
    <mergeCell ref="A393:B393"/>
    <mergeCell ref="A160:B160"/>
    <mergeCell ref="A331:B331"/>
    <mergeCell ref="A464:B464"/>
    <mergeCell ref="A141:B141"/>
    <mergeCell ref="A135:B135"/>
    <mergeCell ref="A439:B439"/>
    <mergeCell ref="A377:B377"/>
    <mergeCell ref="A433:B433"/>
    <mergeCell ref="A159:B159"/>
    <mergeCell ref="A122:B122"/>
    <mergeCell ref="A97:B97"/>
    <mergeCell ref="A420:B420"/>
    <mergeCell ref="A224:B224"/>
    <mergeCell ref="A395:B395"/>
    <mergeCell ref="A72:B72"/>
    <mergeCell ref="A199:B199"/>
    <mergeCell ref="A435:B435"/>
    <mergeCell ref="A161:B161"/>
    <mergeCell ref="A288:B288"/>
    <mergeCell ref="A459:B459"/>
    <mergeCell ref="A88:B88"/>
    <mergeCell ref="A346:B346"/>
    <mergeCell ref="A517:B517"/>
    <mergeCell ref="A54:B54"/>
    <mergeCell ref="A41:B41"/>
    <mergeCell ref="A90:B90"/>
    <mergeCell ref="A212:B212"/>
    <mergeCell ref="A283:B283"/>
    <mergeCell ref="A388:B388"/>
    <mergeCell ref="A277:B277"/>
    <mergeCell ref="A448:B448"/>
    <mergeCell ref="A519:B519"/>
    <mergeCell ref="A375:B375"/>
    <mergeCell ref="A56:B56"/>
    <mergeCell ref="A27:B27"/>
    <mergeCell ref="A154:B154"/>
    <mergeCell ref="A214:B214"/>
    <mergeCell ref="A285:B285"/>
    <mergeCell ref="A390:B390"/>
    <mergeCell ref="A456:B456"/>
    <mergeCell ref="A512:B512"/>
    <mergeCell ref="A306:B306"/>
    <mergeCell ref="A85:B85"/>
    <mergeCell ref="A278:B278"/>
    <mergeCell ref="A22:B22"/>
    <mergeCell ref="A230:B230"/>
    <mergeCell ref="A401:B401"/>
    <mergeCell ref="A295:B295"/>
    <mergeCell ref="A466:B466"/>
    <mergeCell ref="A9:B9"/>
    <mergeCell ref="A167:B167"/>
    <mergeCell ref="A232:B232"/>
    <mergeCell ref="A403:B403"/>
    <mergeCell ref="A530:B530"/>
    <mergeCell ref="A11:B11"/>
    <mergeCell ref="A182:B182"/>
    <mergeCell ref="A169:B169"/>
    <mergeCell ref="A296:B296"/>
    <mergeCell ref="A467:B467"/>
    <mergeCell ref="A461:B461"/>
    <mergeCell ref="A532:B532"/>
    <mergeCell ref="A177:B177"/>
    <mergeCell ref="A444:B444"/>
    <mergeCell ref="A179:B179"/>
    <mergeCell ref="A302:B302"/>
    <mergeCell ref="A298:B298"/>
    <mergeCell ref="A322:B322"/>
    <mergeCell ref="A116:B116"/>
    <mergeCell ref="A414:B414"/>
    <mergeCell ref="A91:B91"/>
    <mergeCell ref="A389:B389"/>
    <mergeCell ref="A327:B327"/>
    <mergeCell ref="A460:B460"/>
    <mergeCell ref="A180:B180"/>
    <mergeCell ref="A416:B416"/>
    <mergeCell ref="A299:B299"/>
    <mergeCell ref="A155:B155"/>
    <mergeCell ref="A293:B293"/>
    <mergeCell ref="A93:B93"/>
    <mergeCell ref="A391:B391"/>
    <mergeCell ref="A480:B480"/>
    <mergeCell ref="A157:B157"/>
    <mergeCell ref="A328:B328"/>
    <mergeCell ref="A284:B284"/>
    <mergeCell ref="A455:B455"/>
    <mergeCell ref="A222:B222"/>
    <mergeCell ref="A457:B457"/>
    <mergeCell ref="A551:B551"/>
    <mergeCell ref="A75:B75"/>
    <mergeCell ref="A246:B246"/>
    <mergeCell ref="A317:B317"/>
    <mergeCell ref="A233:B233"/>
    <mergeCell ref="A409:B409"/>
    <mergeCell ref="A531:B531"/>
    <mergeCell ref="A469:B469"/>
    <mergeCell ref="A12:B12"/>
    <mergeCell ref="A248:B248"/>
    <mergeCell ref="A175:B175"/>
    <mergeCell ref="A297:B297"/>
    <mergeCell ref="A235:B235"/>
    <mergeCell ref="A406:B406"/>
    <mergeCell ref="A533:B533"/>
    <mergeCell ref="A247:B247"/>
    <mergeCell ref="A14:B14"/>
    <mergeCell ref="A185:B185"/>
    <mergeCell ref="A508:B508"/>
    <mergeCell ref="A312:B312"/>
    <mergeCell ref="A483:B483"/>
    <mergeCell ref="A106:B106"/>
    <mergeCell ref="A470:B470"/>
    <mergeCell ref="A404:B404"/>
    <mergeCell ref="A43:B43"/>
    <mergeCell ref="A170:B170"/>
    <mergeCell ref="A130:B130"/>
    <mergeCell ref="A201:B201"/>
    <mergeCell ref="A138:B138"/>
    <mergeCell ref="A132:B132"/>
    <mergeCell ref="A399:B399"/>
    <mergeCell ref="A430:B430"/>
    <mergeCell ref="A488:B488"/>
    <mergeCell ref="A221:B221"/>
    <mergeCell ref="A25:B25"/>
    <mergeCell ref="A196:B196"/>
    <mergeCell ref="A463:B463"/>
    <mergeCell ref="A223:B223"/>
    <mergeCell ref="A198:B198"/>
    <mergeCell ref="A394:B394"/>
    <mergeCell ref="A465:B465"/>
    <mergeCell ref="A2:B2"/>
    <mergeCell ref="A254:B254"/>
    <mergeCell ref="A20:B20"/>
    <mergeCell ref="A125:B125"/>
    <mergeCell ref="A318:B318"/>
    <mergeCell ref="A112:B112"/>
    <mergeCell ref="A348:B348"/>
    <mergeCell ref="A541:B541"/>
    <mergeCell ref="A13:B13"/>
    <mergeCell ref="A249:B249"/>
    <mergeCell ref="A320:B320"/>
    <mergeCell ref="A176:B176"/>
    <mergeCell ref="A314:B314"/>
    <mergeCell ref="A114:B1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0" customWidth="1" min="3" max="3"/>
    <col width="32" customWidth="1" min="4" max="4"/>
    <col width="30" customWidth="1" min="5" max="5"/>
    <col width="14" customWidth="1" min="6" max="6"/>
    <col width="14" customWidth="1" min="7" max="7"/>
    <col width="12" customWidth="1" min="8" max="8"/>
    <col width="13" customWidth="1" min="9" max="9"/>
    <col width="14" customWidth="1" min="10" max="10"/>
    <col width="20" customWidth="1" min="11" max="11"/>
    <col width="4" customWidth="1" min="12" max="12"/>
  </cols>
  <sheetData>
    <row r="1" ht="36" customHeight="1">
      <c r="A1" s="127" t="inlineStr">
        <is>
          <t>11 | EXECUTIVE OUTPUT — BioGlow Skincare · Q1 2025 · Margin Risk Intelligence</t>
        </is>
      </c>
    </row>
    <row r="2" ht="25" customHeight="1">
      <c r="A2" s="128" t="inlineStr">
        <is>
          <t xml:space="preserve">  KEY PERFORMANCE INDICATORS — Q1 2025</t>
        </is>
      </c>
    </row>
    <row r="3" ht="35" customHeight="1">
      <c r="A3" s="47" t="inlineStr">
        <is>
          <t>Total Revenue 
(incl. shipping)</t>
        </is>
      </c>
      <c r="C3" s="45" t="inlineStr">
        <is>
          <t>Total CM (€)</t>
        </is>
      </c>
      <c r="E3" s="43" t="inlineStr">
        <is>
          <t>Overall CM%</t>
        </is>
      </c>
      <c r="G3" s="46" t="inlineStr">
        <is>
          <t>Amazon CM%</t>
        </is>
      </c>
      <c r="I3" s="45" t="inlineStr">
        <is>
          <t>DTC CM%</t>
        </is>
      </c>
      <c r="K3" s="129" t="inlineStr">
        <is>
          <t>Return Rate
AMZ vs DTC</t>
        </is>
      </c>
    </row>
    <row r="4" ht="35" customHeight="1">
      <c r="A4" s="130" t="n">
        <v>107878.89</v>
      </c>
      <c r="C4" s="131" t="n">
        <v>38228.16</v>
      </c>
      <c r="E4" s="132" t="n">
        <v>0.3543618218541181</v>
      </c>
      <c r="G4" s="133" t="n">
        <v>0.3027009240951215</v>
      </c>
      <c r="I4" s="134" t="n">
        <v>0.426969173309549</v>
      </c>
      <c r="K4" s="135" t="inlineStr">
        <is>
          <t>6.0% vs 3.0%</t>
        </is>
      </c>
    </row>
    <row r="6" ht="20" customHeight="1">
      <c r="A6" s="136" t="inlineStr">
        <is>
          <t xml:space="preserve">  PORTFOLIO DECISION SUMMARY</t>
        </is>
      </c>
    </row>
    <row r="7" ht="22" customHeight="1">
      <c r="A7" s="137" t="inlineStr">
        <is>
          <t>🚀 SCALE</t>
        </is>
      </c>
      <c r="C7" s="138" t="inlineStr">
        <is>
          <t>⚙ OPTIMIZE</t>
        </is>
      </c>
      <c r="F7" s="139" t="inlineStr">
        <is>
          <t>⚠ REVIEW</t>
        </is>
      </c>
      <c r="H7" s="140" t="inlineStr">
        <is>
          <t>🔴 KILL</t>
        </is>
      </c>
    </row>
    <row r="8" ht="36" customHeight="1">
      <c r="A8" s="141" t="n">
        <v>7</v>
      </c>
      <c r="C8" s="141" t="n">
        <v>12</v>
      </c>
      <c r="F8" s="141" t="n">
        <v>2</v>
      </c>
      <c r="H8" s="141" t="n">
        <v>0</v>
      </c>
    </row>
    <row r="9" ht="28" customHeight="1">
      <c r="A9" s="142" t="inlineStr">
        <is>
          <t>SKUs  |  CM% ≥ 40% — Invest &amp; expand</t>
        </is>
      </c>
      <c r="C9" s="142" t="inlineStr">
        <is>
          <t>SKUs  |  CM% 25–40% — Improve margin</t>
        </is>
      </c>
      <c r="F9" s="142" t="inlineStr">
        <is>
          <t>SKUs  |  CM% 0–25% — Investigate</t>
        </is>
      </c>
      <c r="H9" s="142" t="inlineStr">
        <is>
          <t>SKUs  |  CM% &lt; 0% — Discontinue channel/SKU</t>
        </is>
      </c>
    </row>
    <row r="10" ht="20" customHeight="1">
      <c r="A10" s="143" t="inlineStr">
        <is>
          <t xml:space="preserve">  KILL / OPTIMIZE / SCALE — Full Decision Matrix</t>
        </is>
      </c>
    </row>
    <row r="11" ht="22" customHeight="1">
      <c r="A11" s="47" t="inlineStr">
        <is>
          <t>SKU ID</t>
        </is>
      </c>
      <c r="B11" s="47" t="inlineStr">
        <is>
          <t>SKU Name</t>
        </is>
      </c>
      <c r="C11" s="47" t="inlineStr">
        <is>
          <t>Category</t>
        </is>
      </c>
      <c r="D11" s="47" t="inlineStr">
        <is>
          <t>Channel</t>
        </is>
      </c>
      <c r="E11" s="47" t="inlineStr">
        <is>
          <t>Units Sold</t>
        </is>
      </c>
      <c r="F11" s="47" t="inlineStr">
        <is>
          <t>Net Price</t>
        </is>
      </c>
      <c r="G11" s="47" t="inlineStr">
        <is>
          <t>CM/unit</t>
        </is>
      </c>
      <c r="H11" s="47" t="inlineStr">
        <is>
          <t>CM %</t>
        </is>
      </c>
      <c r="I11" s="47" t="inlineStr">
        <is>
          <t>Total CM</t>
        </is>
      </c>
      <c r="J11" s="47" t="inlineStr">
        <is>
          <t>Decision</t>
        </is>
      </c>
    </row>
    <row r="12" ht="30" customHeight="1">
      <c r="A12" s="62" t="inlineStr">
        <is>
          <t>SKU-011</t>
        </is>
      </c>
      <c r="B12" s="63" t="inlineStr">
        <is>
          <t>Peptide Firming Serum 30ml</t>
        </is>
      </c>
      <c r="C12" s="62" t="inlineStr">
        <is>
          <t>Serum</t>
        </is>
      </c>
      <c r="D12" s="64" t="inlineStr">
        <is>
          <t>DTC</t>
        </is>
      </c>
      <c r="E12" s="144" t="n">
        <v>286</v>
      </c>
      <c r="F12" s="145" t="n">
        <v>40.9196</v>
      </c>
      <c r="G12" s="146" t="n">
        <v>18.9869</v>
      </c>
      <c r="H12" s="147" t="n">
        <v>0.4640053808556301</v>
      </c>
      <c r="I12" s="146" t="n">
        <v>5259.37</v>
      </c>
      <c r="J12" s="148" t="inlineStr">
        <is>
          <t>🚀 SCALE</t>
        </is>
      </c>
    </row>
    <row r="13" ht="30" customHeight="1">
      <c r="A13" s="48" t="inlineStr">
        <is>
          <t>SKU-001</t>
        </is>
      </c>
      <c r="B13" s="49" t="inlineStr">
        <is>
          <t>Vitamin C Brightening Serum 30ml</t>
        </is>
      </c>
      <c r="C13" s="48" t="inlineStr">
        <is>
          <t>Serum</t>
        </is>
      </c>
      <c r="D13" s="50" t="inlineStr">
        <is>
          <t>Amazon</t>
        </is>
      </c>
      <c r="E13" s="144" t="n">
        <v>495</v>
      </c>
      <c r="F13" s="145" t="n">
        <v>32.552</v>
      </c>
      <c r="G13" s="145" t="n">
        <v>10.5113</v>
      </c>
      <c r="H13" s="149" t="n">
        <v>0.322909248095057</v>
      </c>
      <c r="I13" s="145" t="n">
        <v>4887.77</v>
      </c>
      <c r="J13" s="150" t="inlineStr">
        <is>
          <t>⚙ OPTIMIZE</t>
        </is>
      </c>
    </row>
    <row r="14" ht="30" customHeight="1">
      <c r="A14" s="62" t="inlineStr">
        <is>
          <t>SKU-007</t>
        </is>
      </c>
      <c r="B14" s="63" t="inlineStr">
        <is>
          <t>Collagen Boosting Eye Cream 15ml</t>
        </is>
      </c>
      <c r="C14" s="62" t="inlineStr">
        <is>
          <t>Eye Care</t>
        </is>
      </c>
      <c r="D14" s="64" t="inlineStr">
        <is>
          <t>DTC</t>
        </is>
      </c>
      <c r="E14" s="144" t="n">
        <v>224</v>
      </c>
      <c r="F14" s="145" t="n">
        <v>35.2454</v>
      </c>
      <c r="G14" s="146" t="n">
        <v>16.0569</v>
      </c>
      <c r="H14" s="147" t="n">
        <v>0.4555730948695865</v>
      </c>
      <c r="I14" s="146" t="n">
        <v>3484.34</v>
      </c>
      <c r="J14" s="148" t="inlineStr">
        <is>
          <t>🚀 SCALE</t>
        </is>
      </c>
    </row>
    <row r="15" ht="30" customHeight="1">
      <c r="A15" s="48" t="inlineStr">
        <is>
          <t>SKU-011</t>
        </is>
      </c>
      <c r="B15" s="49" t="inlineStr">
        <is>
          <t>Peptide Firming Serum 30ml</t>
        </is>
      </c>
      <c r="C15" s="48" t="inlineStr">
        <is>
          <t>Serum</t>
        </is>
      </c>
      <c r="D15" s="50" t="inlineStr">
        <is>
          <t>Amazon</t>
        </is>
      </c>
      <c r="E15" s="144" t="n">
        <v>294</v>
      </c>
      <c r="F15" s="145" t="n">
        <v>38.5339</v>
      </c>
      <c r="G15" s="145" t="n">
        <v>11.5665</v>
      </c>
      <c r="H15" s="149" t="n">
        <v>0.3001655747876064</v>
      </c>
      <c r="I15" s="145" t="n">
        <v>3203.93</v>
      </c>
      <c r="J15" s="150" t="inlineStr">
        <is>
          <t>⚙ OPTIMIZE</t>
        </is>
      </c>
    </row>
    <row r="16" ht="30" customHeight="1">
      <c r="A16" s="62" t="inlineStr">
        <is>
          <t>SKU-002</t>
        </is>
      </c>
      <c r="B16" s="63" t="inlineStr">
        <is>
          <t>Hyaluronic Acid Moisturiser 50ml</t>
        </is>
      </c>
      <c r="C16" s="62" t="inlineStr">
        <is>
          <t>Moisturiser</t>
        </is>
      </c>
      <c r="D16" s="50" t="inlineStr">
        <is>
          <t>Amazon</t>
        </is>
      </c>
      <c r="E16" s="144" t="n">
        <v>366</v>
      </c>
      <c r="F16" s="145" t="n">
        <v>27.8902</v>
      </c>
      <c r="G16" s="145" t="n">
        <v>8.3375</v>
      </c>
      <c r="H16" s="149" t="n">
        <v>0.2989393026993643</v>
      </c>
      <c r="I16" s="145" t="n">
        <v>2868.1</v>
      </c>
      <c r="J16" s="150" t="inlineStr">
        <is>
          <t>⚙ OPTIMIZE</t>
        </is>
      </c>
    </row>
    <row r="17" ht="30" customHeight="1">
      <c r="A17" s="48" t="inlineStr">
        <is>
          <t>SKU-003</t>
        </is>
      </c>
      <c r="B17" s="49" t="inlineStr">
        <is>
          <t>Retinol Night Cream 30ml</t>
        </is>
      </c>
      <c r="C17" s="48" t="inlineStr">
        <is>
          <t>Cream</t>
        </is>
      </c>
      <c r="D17" s="64" t="inlineStr">
        <is>
          <t>DTC</t>
        </is>
      </c>
      <c r="E17" s="144" t="n">
        <v>133</v>
      </c>
      <c r="F17" s="145" t="n">
        <v>42.0819</v>
      </c>
      <c r="G17" s="146" t="n">
        <v>20.7222</v>
      </c>
      <c r="H17" s="147" t="n">
        <v>0.4924270689255466</v>
      </c>
      <c r="I17" s="146" t="n">
        <v>2673.17</v>
      </c>
      <c r="J17" s="148" t="inlineStr">
        <is>
          <t>🚀 SCALE</t>
        </is>
      </c>
    </row>
    <row r="18" ht="30" customHeight="1">
      <c r="A18" s="62" t="inlineStr">
        <is>
          <t>SKU-009</t>
        </is>
      </c>
      <c r="B18" s="63" t="inlineStr">
        <is>
          <t>Ceramide Barrier Repair Cream 50ml</t>
        </is>
      </c>
      <c r="C18" s="62" t="inlineStr">
        <is>
          <t>Cream</t>
        </is>
      </c>
      <c r="D18" s="50" t="inlineStr">
        <is>
          <t>Amazon</t>
        </is>
      </c>
      <c r="E18" s="144" t="n">
        <v>274</v>
      </c>
      <c r="F18" s="145" t="n">
        <v>29.3132</v>
      </c>
      <c r="G18" s="145" t="n">
        <v>9.0901</v>
      </c>
      <c r="H18" s="149" t="n">
        <v>0.3101015412780905</v>
      </c>
      <c r="I18" s="145" t="n">
        <v>2336.15</v>
      </c>
      <c r="J18" s="150" t="inlineStr">
        <is>
          <t>⚙ OPTIMIZE</t>
        </is>
      </c>
    </row>
    <row r="19" ht="30" customHeight="1">
      <c r="A19" s="48" t="inlineStr">
        <is>
          <t>SKU-008</t>
        </is>
      </c>
      <c r="B19" s="49" t="inlineStr">
        <is>
          <t>Rose Hip Facial Oil 30ml</t>
        </is>
      </c>
      <c r="C19" s="48" t="inlineStr">
        <is>
          <t>Facial Oil</t>
        </is>
      </c>
      <c r="D19" s="50" t="inlineStr">
        <is>
          <t>Amazon</t>
        </is>
      </c>
      <c r="E19" s="144" t="n">
        <v>175</v>
      </c>
      <c r="F19" s="145" t="n">
        <v>35.99</v>
      </c>
      <c r="G19" s="145" t="n">
        <v>12.355</v>
      </c>
      <c r="H19" s="149" t="n">
        <v>0.3432902771094952</v>
      </c>
      <c r="I19" s="145" t="n">
        <v>2026.22</v>
      </c>
      <c r="J19" s="150" t="inlineStr">
        <is>
          <t>⚙ OPTIMIZE</t>
        </is>
      </c>
    </row>
    <row r="20" ht="30" customHeight="1">
      <c r="A20" s="62" t="inlineStr">
        <is>
          <t>SKU-002</t>
        </is>
      </c>
      <c r="B20" s="63" t="inlineStr">
        <is>
          <t>Hyaluronic Acid Moisturiser 50ml</t>
        </is>
      </c>
      <c r="C20" s="62" t="inlineStr">
        <is>
          <t>Moisturiser</t>
        </is>
      </c>
      <c r="D20" s="64" t="inlineStr">
        <is>
          <t>DTC</t>
        </is>
      </c>
      <c r="E20" s="144" t="n">
        <v>141</v>
      </c>
      <c r="F20" s="145" t="n">
        <v>28.4466</v>
      </c>
      <c r="G20" s="146" t="n">
        <v>12.3515</v>
      </c>
      <c r="H20" s="147" t="n">
        <v>0.434201227143572</v>
      </c>
      <c r="I20" s="146" t="n">
        <v>1692.16</v>
      </c>
      <c r="J20" s="148" t="inlineStr">
        <is>
          <t>🚀 SCALE</t>
        </is>
      </c>
    </row>
    <row r="21" ht="30" customHeight="1">
      <c r="A21" s="48" t="inlineStr">
        <is>
          <t>SKU-008</t>
        </is>
      </c>
      <c r="B21" s="49" t="inlineStr">
        <is>
          <t>Rose Hip Facial Oil 30ml</t>
        </is>
      </c>
      <c r="C21" s="48" t="inlineStr">
        <is>
          <t>Facial Oil</t>
        </is>
      </c>
      <c r="D21" s="64" t="inlineStr">
        <is>
          <t>DTC</t>
        </is>
      </c>
      <c r="E21" s="144" t="n">
        <v>75</v>
      </c>
      <c r="F21" s="145" t="n">
        <v>35.99</v>
      </c>
      <c r="G21" s="146" t="n">
        <v>17.2794</v>
      </c>
      <c r="H21" s="147" t="n">
        <v>0.4801172205369071</v>
      </c>
      <c r="I21" s="146" t="n">
        <v>1261.4</v>
      </c>
      <c r="J21" s="148" t="inlineStr">
        <is>
          <t>🚀 SCALE</t>
        </is>
      </c>
    </row>
    <row r="22" ht="30" customHeight="1">
      <c r="A22" s="62" t="inlineStr">
        <is>
          <t>SKU-005</t>
        </is>
      </c>
      <c r="B22" s="63" t="inlineStr">
        <is>
          <t>AHA/BHA Exfoliating Toner 200ml</t>
        </is>
      </c>
      <c r="C22" s="62" t="inlineStr">
        <is>
          <t>Toner</t>
        </is>
      </c>
      <c r="D22" s="50" t="inlineStr">
        <is>
          <t>Amazon</t>
        </is>
      </c>
      <c r="E22" s="144" t="n">
        <v>154</v>
      </c>
      <c r="F22" s="145" t="n">
        <v>24.7843</v>
      </c>
      <c r="G22" s="145" t="n">
        <v>6.8304</v>
      </c>
      <c r="H22" s="149" t="n">
        <v>0.275596017050306</v>
      </c>
      <c r="I22" s="145" t="n">
        <v>990.41</v>
      </c>
      <c r="J22" s="150" t="inlineStr">
        <is>
          <t>⚙ OPTIMIZE</t>
        </is>
      </c>
    </row>
    <row r="23" ht="30" customHeight="1">
      <c r="A23" s="48" t="inlineStr">
        <is>
          <t>SKU-004</t>
        </is>
      </c>
      <c r="B23" s="49" t="inlineStr">
        <is>
          <t>SPF 50+ Daily Sunscreen 75ml</t>
        </is>
      </c>
      <c r="C23" s="48" t="inlineStr">
        <is>
          <t>Sunscreen</t>
        </is>
      </c>
      <c r="D23" s="50" t="inlineStr">
        <is>
          <t>Amazon</t>
        </is>
      </c>
      <c r="E23" s="144" t="n">
        <v>165</v>
      </c>
      <c r="F23" s="145" t="n">
        <v>22.5302</v>
      </c>
      <c r="G23" s="145" t="n">
        <v>6.1229</v>
      </c>
      <c r="H23" s="149" t="n">
        <v>0.2717620106174336</v>
      </c>
      <c r="I23" s="145" t="n">
        <v>949.04</v>
      </c>
      <c r="J23" s="150" t="inlineStr">
        <is>
          <t>⚙ OPTIMIZE</t>
        </is>
      </c>
    </row>
    <row r="24" ht="30" customHeight="1">
      <c r="A24" s="62" t="inlineStr">
        <is>
          <t>SKU-012</t>
        </is>
      </c>
      <c r="B24" s="63" t="inlineStr">
        <is>
          <t>Gentle Foaming Cleanser 150ml</t>
        </is>
      </c>
      <c r="C24" s="62" t="inlineStr">
        <is>
          <t>Cleanser</t>
        </is>
      </c>
      <c r="D24" s="64" t="inlineStr">
        <is>
          <t>DTC</t>
        </is>
      </c>
      <c r="E24" s="144" t="n">
        <v>189</v>
      </c>
      <c r="F24" s="145" t="n">
        <v>17.4829</v>
      </c>
      <c r="G24" s="145" t="n">
        <v>4.9277</v>
      </c>
      <c r="H24" s="149" t="n">
        <v>0.2818567422424947</v>
      </c>
      <c r="I24" s="145" t="n">
        <v>901.76</v>
      </c>
      <c r="J24" s="150" t="inlineStr">
        <is>
          <t>⚙ OPTIMIZE</t>
        </is>
      </c>
    </row>
    <row r="25" ht="30" customHeight="1">
      <c r="A25" s="48" t="inlineStr">
        <is>
          <t>SKU-005</t>
        </is>
      </c>
      <c r="B25" s="49" t="inlineStr">
        <is>
          <t>AHA/BHA Exfoliating Toner 200ml</t>
        </is>
      </c>
      <c r="C25" s="48" t="inlineStr">
        <is>
          <t>Toner</t>
        </is>
      </c>
      <c r="D25" s="64" t="inlineStr">
        <is>
          <t>DTC</t>
        </is>
      </c>
      <c r="E25" s="144" t="n">
        <v>119</v>
      </c>
      <c r="F25" s="145" t="n">
        <v>22.2074</v>
      </c>
      <c r="G25" s="145" t="n">
        <v>7.4624</v>
      </c>
      <c r="H25" s="149" t="n">
        <v>0.3360342385562794</v>
      </c>
      <c r="I25" s="145" t="n">
        <v>858.1799999999999</v>
      </c>
      <c r="J25" s="150" t="inlineStr">
        <is>
          <t>⚙ OPTIMIZE</t>
        </is>
      </c>
    </row>
    <row r="26" ht="30" customHeight="1">
      <c r="A26" s="62" t="inlineStr">
        <is>
          <t>SKU-010</t>
        </is>
      </c>
      <c r="B26" s="63" t="inlineStr">
        <is>
          <t>Micellar Cleansing Water 250ml</t>
        </is>
      </c>
      <c r="C26" s="62" t="inlineStr">
        <is>
          <t>Cleanser</t>
        </is>
      </c>
      <c r="D26" s="50" t="inlineStr">
        <is>
          <t>Amazon</t>
        </is>
      </c>
      <c r="E26" s="144" t="n">
        <v>210</v>
      </c>
      <c r="F26" s="145" t="n">
        <v>18.4984</v>
      </c>
      <c r="G26" s="145" t="n">
        <v>4.3414</v>
      </c>
      <c r="H26" s="151" t="n">
        <v>0.2346898054734382</v>
      </c>
      <c r="I26" s="145" t="n">
        <v>855.25</v>
      </c>
      <c r="J26" s="152" t="inlineStr">
        <is>
          <t>⚠ REVIEW</t>
        </is>
      </c>
    </row>
    <row r="27" ht="30" customHeight="1">
      <c r="A27" s="48" t="inlineStr">
        <is>
          <t>SKU-001</t>
        </is>
      </c>
      <c r="B27" s="49" t="inlineStr">
        <is>
          <t>Vitamin C Brightening Serum 30ml</t>
        </is>
      </c>
      <c r="C27" s="48" t="inlineStr">
        <is>
          <t>Serum</t>
        </is>
      </c>
      <c r="D27" s="64" t="inlineStr">
        <is>
          <t>DTC</t>
        </is>
      </c>
      <c r="E27" s="144" t="n">
        <v>69</v>
      </c>
      <c r="F27" s="145" t="n">
        <v>29.7415</v>
      </c>
      <c r="G27" s="146" t="n">
        <v>12.3042</v>
      </c>
      <c r="H27" s="147" t="n">
        <v>0.4137032130840845</v>
      </c>
      <c r="I27" s="146" t="n">
        <v>824.38</v>
      </c>
      <c r="J27" s="148" t="inlineStr">
        <is>
          <t>🚀 SCALE</t>
        </is>
      </c>
    </row>
    <row r="28" ht="30" customHeight="1">
      <c r="A28" s="62" t="inlineStr">
        <is>
          <t>SKU-010</t>
        </is>
      </c>
      <c r="B28" s="63" t="inlineStr">
        <is>
          <t>Micellar Cleansing Water 250ml</t>
        </is>
      </c>
      <c r="C28" s="62" t="inlineStr">
        <is>
          <t>Cleanser</t>
        </is>
      </c>
      <c r="D28" s="64" t="inlineStr">
        <is>
          <t>DTC</t>
        </is>
      </c>
      <c r="E28" s="144" t="n">
        <v>146</v>
      </c>
      <c r="F28" s="145" t="n">
        <v>17.9352</v>
      </c>
      <c r="G28" s="145" t="n">
        <v>5.7637</v>
      </c>
      <c r="H28" s="149" t="n">
        <v>0.3213615377955445</v>
      </c>
      <c r="I28" s="145" t="n">
        <v>818.4400000000001</v>
      </c>
      <c r="J28" s="150" t="inlineStr">
        <is>
          <t>⚙ OPTIMIZE</t>
        </is>
      </c>
    </row>
    <row r="29" ht="30" customHeight="1">
      <c r="A29" s="48" t="inlineStr">
        <is>
          <t>SKU-009</t>
        </is>
      </c>
      <c r="B29" s="49" t="inlineStr">
        <is>
          <t>Ceramide Barrier Repair Cream 50ml</t>
        </is>
      </c>
      <c r="C29" s="48" t="inlineStr">
        <is>
          <t>Cream</t>
        </is>
      </c>
      <c r="D29" s="64" t="inlineStr">
        <is>
          <t>DTC</t>
        </is>
      </c>
      <c r="E29" s="144" t="n">
        <v>103</v>
      </c>
      <c r="F29" s="145" t="n">
        <v>24.0319</v>
      </c>
      <c r="G29" s="145" t="n">
        <v>8.146800000000001</v>
      </c>
      <c r="H29" s="149" t="n">
        <v>0.3389982481618183</v>
      </c>
      <c r="I29" s="145" t="n">
        <v>814.6799999999999</v>
      </c>
      <c r="J29" s="150" t="inlineStr">
        <is>
          <t>⚙ OPTIMIZE</t>
        </is>
      </c>
    </row>
    <row r="30" ht="30" customHeight="1">
      <c r="A30" s="62" t="inlineStr">
        <is>
          <t>SKU-006</t>
        </is>
      </c>
      <c r="B30" s="63" t="inlineStr">
        <is>
          <t>Niacinamide Pore Minimiser Serum</t>
        </is>
      </c>
      <c r="C30" s="62" t="inlineStr">
        <is>
          <t>Serum</t>
        </is>
      </c>
      <c r="D30" s="50" t="inlineStr">
        <is>
          <t>Amazon</t>
        </is>
      </c>
      <c r="E30" s="144" t="n">
        <v>70</v>
      </c>
      <c r="F30" s="145" t="n">
        <v>31.99</v>
      </c>
      <c r="G30" s="145" t="n">
        <v>10.5648</v>
      </c>
      <c r="H30" s="149" t="n">
        <v>0.3302538672122917</v>
      </c>
      <c r="I30" s="145" t="n">
        <v>697.28</v>
      </c>
      <c r="J30" s="150" t="inlineStr">
        <is>
          <t>⚙ OPTIMIZE</t>
        </is>
      </c>
    </row>
    <row r="31" ht="30" customHeight="1">
      <c r="A31" s="48" t="inlineStr">
        <is>
          <t>SKU-006</t>
        </is>
      </c>
      <c r="B31" s="49" t="inlineStr">
        <is>
          <t>Niacinamide Pore Minimiser Serum</t>
        </is>
      </c>
      <c r="C31" s="48" t="inlineStr">
        <is>
          <t>Serum</t>
        </is>
      </c>
      <c r="D31" s="64" t="inlineStr">
        <is>
          <t>DTC</t>
        </is>
      </c>
      <c r="E31" s="144" t="n">
        <v>39</v>
      </c>
      <c r="F31" s="145" t="n">
        <v>31.99</v>
      </c>
      <c r="G31" s="146" t="n">
        <v>14.7531</v>
      </c>
      <c r="H31" s="147" t="n">
        <v>0.461178180681463</v>
      </c>
      <c r="I31" s="146" t="n">
        <v>560.62</v>
      </c>
      <c r="J31" s="148" t="inlineStr">
        <is>
          <t>🚀 SCALE</t>
        </is>
      </c>
    </row>
    <row r="32" ht="30" customHeight="1">
      <c r="A32" s="62" t="inlineStr">
        <is>
          <t>SKU-012</t>
        </is>
      </c>
      <c r="B32" s="63" t="inlineStr">
        <is>
          <t>Gentle Foaming Cleanser 150ml</t>
        </is>
      </c>
      <c r="C32" s="62" t="inlineStr">
        <is>
          <t>Cleanser</t>
        </is>
      </c>
      <c r="D32" s="50" t="inlineStr">
        <is>
          <t>Amazon</t>
        </is>
      </c>
      <c r="E32" s="144" t="n">
        <v>80</v>
      </c>
      <c r="F32" s="145" t="n">
        <v>17.991</v>
      </c>
      <c r="G32" s="145" t="n">
        <v>3.5401</v>
      </c>
      <c r="H32" s="151" t="n">
        <v>0.1967704222481612</v>
      </c>
      <c r="I32" s="145" t="n">
        <v>265.51</v>
      </c>
      <c r="J32" s="152" t="inlineStr">
        <is>
          <t>⚠ REVIEW</t>
        </is>
      </c>
    </row>
    <row r="33" ht="22" customHeight="1">
      <c r="A33" s="84" t="inlineStr">
        <is>
          <t>TOTALS</t>
        </is>
      </c>
      <c r="E33" s="153">
        <f>SUM(E12:E32)</f>
        <v/>
      </c>
      <c r="I33" s="154">
        <f>SUM(I12:I32)</f>
        <v/>
      </c>
    </row>
    <row r="35" ht="22" customHeight="1">
      <c r="A35" s="155" t="inlineStr">
        <is>
          <t xml:space="preserve">  TOP 5 PRIORITY ACTIONS — Immediate Impact Opportunities</t>
        </is>
      </c>
    </row>
    <row r="36" ht="22" customHeight="1">
      <c r="A36" s="45" t="inlineStr">
        <is>
          <t>Priority</t>
        </is>
      </c>
      <c r="B36" s="45" t="inlineStr">
        <is>
          <t>SKU</t>
        </is>
      </c>
      <c r="C36" s="45" t="inlineStr">
        <is>
          <t>Channel</t>
        </is>
      </c>
      <c r="D36" s="45" t="inlineStr">
        <is>
          <t>Issue / Opportunity</t>
        </is>
      </c>
      <c r="E36" s="45" t="inlineStr">
        <is>
          <t>Recommended Action</t>
        </is>
      </c>
      <c r="F36" s="45" t="inlineStr">
        <is>
          <t>Est. CM Impact</t>
        </is>
      </c>
      <c r="G36" s="45" t="inlineStr">
        <is>
          <t>Owner</t>
        </is>
      </c>
      <c r="H36" s="45" t="inlineStr">
        <is>
          <t>Deadline</t>
        </is>
      </c>
    </row>
    <row r="37" ht="32" customHeight="1">
      <c r="A37" s="156" t="inlineStr">
        <is>
          <t>P1</t>
        </is>
      </c>
      <c r="B37" s="157" t="inlineStr">
        <is>
          <t>SKU-011</t>
        </is>
      </c>
      <c r="C37" s="157" t="inlineStr">
        <is>
          <t>DTC</t>
        </is>
      </c>
      <c r="D37" s="158" t="inlineStr">
        <is>
          <t>Top contributor · CM 46.4% · 286 units</t>
        </is>
      </c>
      <c r="E37" s="158" t="inlineStr">
        <is>
          <t>Increase ad spend, expand inventory, A/B test price uplift</t>
        </is>
      </c>
      <c r="F37" s="158" t="inlineStr">
        <is>
          <t>+€789 (est. +15% volume)</t>
        </is>
      </c>
      <c r="G37" s="157" t="inlineStr">
        <is>
          <t>Growth / Ops</t>
        </is>
      </c>
      <c r="H37" s="157" t="inlineStr">
        <is>
          <t>30 days</t>
        </is>
      </c>
    </row>
    <row r="38" ht="32" customHeight="1">
      <c r="A38" s="159" t="inlineStr">
        <is>
          <t>P2</t>
        </is>
      </c>
      <c r="B38" s="160" t="inlineStr">
        <is>
          <t>SKU-007</t>
        </is>
      </c>
      <c r="C38" s="160" t="inlineStr">
        <is>
          <t>DTC</t>
        </is>
      </c>
      <c r="D38" s="161" t="inlineStr">
        <is>
          <t>Top contributor · CM 45.6% · 224 units</t>
        </is>
      </c>
      <c r="E38" s="161" t="inlineStr">
        <is>
          <t>Increase ad spend, expand inventory, A/B test price uplift</t>
        </is>
      </c>
      <c r="F38" s="161" t="inlineStr">
        <is>
          <t>+€523 (est. +15% volume)</t>
        </is>
      </c>
      <c r="G38" s="160" t="inlineStr">
        <is>
          <t>Growth / Ops</t>
        </is>
      </c>
      <c r="H38" s="160" t="inlineStr">
        <is>
          <t>30 days</t>
        </is>
      </c>
    </row>
    <row r="39" ht="32" customHeight="1">
      <c r="A39" s="162" t="inlineStr">
        <is>
          <t>P3</t>
        </is>
      </c>
      <c r="B39" s="163" t="inlineStr">
        <is>
          <t>SKU-004</t>
        </is>
      </c>
      <c r="C39" s="163" t="inlineStr">
        <is>
          <t>Amazon</t>
        </is>
      </c>
      <c r="D39" s="164" t="inlineStr">
        <is>
          <t>Below SCALE threshold · CM 27.2% · ads/returns drag</t>
        </is>
      </c>
      <c r="E39" s="164" t="inlineStr">
        <is>
          <t>Reduce discount %, review ad ACOS, negotiate returns policy</t>
        </is>
      </c>
      <c r="F39" s="164" t="inlineStr">
        <is>
          <t>+€190 (est. 5pp CM improvement)</t>
        </is>
      </c>
      <c r="G39" s="163" t="inlineStr">
        <is>
          <t>Pricing / Marketing</t>
        </is>
      </c>
      <c r="H39" s="163" t="inlineStr">
        <is>
          <t>14 days</t>
        </is>
      </c>
    </row>
    <row r="40" ht="32" customHeight="1">
      <c r="A40" s="165" t="inlineStr">
        <is>
          <t>P4</t>
        </is>
      </c>
      <c r="B40" s="166" t="inlineStr">
        <is>
          <t>SKU-005</t>
        </is>
      </c>
      <c r="C40" s="166" t="inlineStr">
        <is>
          <t>Amazon</t>
        </is>
      </c>
      <c r="D40" s="167" t="inlineStr">
        <is>
          <t>Below SCALE threshold · CM 27.6% · ads/returns drag</t>
        </is>
      </c>
      <c r="E40" s="167" t="inlineStr">
        <is>
          <t>Reduce discount %, review ad ACOS, negotiate returns policy</t>
        </is>
      </c>
      <c r="F40" s="167" t="inlineStr">
        <is>
          <t>+€198 (est. 5pp CM improvement)</t>
        </is>
      </c>
      <c r="G40" s="166" t="inlineStr">
        <is>
          <t>Pricing / Marketing</t>
        </is>
      </c>
      <c r="H40" s="166" t="inlineStr">
        <is>
          <t>14 days</t>
        </is>
      </c>
    </row>
    <row r="42">
      <c r="A42" s="19" t="inlineStr">
        <is>
          <t>Generated: Q1 2025 | Prepared by: Margin &amp; Revenue Risk Architect | VAT: EX-VAT | Dual-Lens: period_net_units (truth) / econ_units (decision) | Net Revenue includes shipping income | SCALE ≥ 40% | OPTIMIZE 25–40% | KILL &lt; 0%</t>
        </is>
      </c>
    </row>
  </sheetData>
  <mergeCells count="31">
    <mergeCell ref="A35:J35"/>
    <mergeCell ref="K4:L4"/>
    <mergeCell ref="A10:J10"/>
    <mergeCell ref="H9:I9"/>
    <mergeCell ref="F7:G7"/>
    <mergeCell ref="C4:D4"/>
    <mergeCell ref="A2:L2"/>
    <mergeCell ref="E4:F4"/>
    <mergeCell ref="A7:B7"/>
    <mergeCell ref="C9:D9"/>
    <mergeCell ref="A3:B3"/>
    <mergeCell ref="G3:H3"/>
    <mergeCell ref="I3:J3"/>
    <mergeCell ref="F8:G8"/>
    <mergeCell ref="A6:J6"/>
    <mergeCell ref="H7:I7"/>
    <mergeCell ref="A8:B8"/>
    <mergeCell ref="C8:D8"/>
    <mergeCell ref="F9:G9"/>
    <mergeCell ref="A4:B4"/>
    <mergeCell ref="G4:H4"/>
    <mergeCell ref="I4:J4"/>
    <mergeCell ref="C7:D7"/>
    <mergeCell ref="A1:L1"/>
    <mergeCell ref="A33:D33"/>
    <mergeCell ref="H8:I8"/>
    <mergeCell ref="A9:B9"/>
    <mergeCell ref="C3:D3"/>
    <mergeCell ref="A42:J42"/>
    <mergeCell ref="E3:F3"/>
    <mergeCell ref="K3:L3"/>
  </mergeCells>
  <conditionalFormatting sqref="H12:H32">
    <cfRule type="colorScale" priority="1">
      <colorScale>
        <cfvo type="num" val="0"/>
        <cfvo type="num" val="0.3"/>
        <cfvo type="num" val="0.55"/>
        <color rgb="00FCE4D6"/>
        <color rgb="00FFEB9C"/>
        <color rgb="00C6EF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2026-02-26T13:22:43Z</dcterms:created>
  <dcterms:modified xsi:type="dcterms:W3CDTF">2026-02-26T13:23:22Z</dcterms:modified>
</cp:coreProperties>
</file>